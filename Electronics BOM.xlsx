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10" documentId="11_E5177C55F34B907D122204F449CA9E396FBB6270" xr6:coauthVersionLast="47" xr6:coauthVersionMax="47" xr10:uidLastSave="{AC715A6D-F252-4210-B4C3-9E7E81751A58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42" i="1" s="1"/>
</calcChain>
</file>

<file path=xl/sharedStrings.xml><?xml version="1.0" encoding="utf-8"?>
<sst xmlns="http://schemas.openxmlformats.org/spreadsheetml/2006/main" count="170" uniqueCount="115">
  <si>
    <t>Line Item</t>
  </si>
  <si>
    <t>Part No.</t>
  </si>
  <si>
    <t>Qty</t>
  </si>
  <si>
    <t>Description</t>
  </si>
  <si>
    <t>Unit Price</t>
  </si>
  <si>
    <t>Amount</t>
  </si>
  <si>
    <t>Supplier</t>
  </si>
  <si>
    <t>Package</t>
  </si>
  <si>
    <t>1490-NRF9151-DK-ND</t>
  </si>
  <si>
    <t>EVAL BOARD FOR NRF9151</t>
  </si>
  <si>
    <t>Digikey</t>
  </si>
  <si>
    <t>Dev Kit</t>
  </si>
  <si>
    <t>1528-1551-ND</t>
  </si>
  <si>
    <t>SOLENOID PULL INTERMITTENT 12V</t>
  </si>
  <si>
    <t>TH</t>
  </si>
  <si>
    <t>1738-SEN0348-ND</t>
  </si>
  <si>
    <t>SENSOR CAP/FINGERPRINT UART OUT</t>
  </si>
  <si>
    <t>Module</t>
  </si>
  <si>
    <t>2223-CEB-35035-L100-ND</t>
  </si>
  <si>
    <t>IEZO DISC 35X.35MM, LEAD WIRES</t>
  </si>
  <si>
    <t>TH (lead wires)</t>
  </si>
  <si>
    <t>SIM Test Kit</t>
  </si>
  <si>
    <t>Multi-format SIM with 1 GB of global data, valid for 12 months.</t>
  </si>
  <si>
    <t>IoT Cards</t>
  </si>
  <si>
    <t>—</t>
  </si>
  <si>
    <t>931-FXP301.A.001-ND</t>
  </si>
  <si>
    <t>FXP301 2-IN-1 GNSS AND CELLULAR</t>
  </si>
  <si>
    <t>Flex PCB</t>
  </si>
  <si>
    <t>C22397843</t>
  </si>
  <si>
    <t>NORDIC nRF9151 LTE-M/GNSS SoC LGA-113</t>
  </si>
  <si>
    <t>JLCPCB</t>
  </si>
  <si>
    <t>LGA-113</t>
  </si>
  <si>
    <t>C160405</t>
  </si>
  <si>
    <t>JST SH 1mm 6P SMD horizontal connector</t>
  </si>
  <si>
    <t>SM06B-SRSS-TB</t>
  </si>
  <si>
    <t>C187794</t>
  </si>
  <si>
    <t>32MHz crystal 8pF ±10ppm SMD2016</t>
  </si>
  <si>
    <t>SMD2016-4P</t>
  </si>
  <si>
    <t>C131337</t>
  </si>
  <si>
    <t>JST PH 2mm 2P through-hole connector</t>
  </si>
  <si>
    <t>TH 2.0mm</t>
  </si>
  <si>
    <t>C266888</t>
  </si>
  <si>
    <t>Nano-SIM push-push w/ card detect SMD</t>
  </si>
  <si>
    <t>SMD push-push</t>
  </si>
  <si>
    <t>C5137195</t>
  </si>
  <si>
    <t>U.FL/IPEX1 50Ω SMD coaxial connector</t>
  </si>
  <si>
    <t>U.FL/IPEX1</t>
  </si>
  <si>
    <t>C456012</t>
  </si>
  <si>
    <t>USB Type-C 6P SMD right-angle connector</t>
  </si>
  <si>
    <t>SMD 6P</t>
  </si>
  <si>
    <t>C2827688</t>
  </si>
  <si>
    <t>USB ESD protection 5V SOT-143</t>
  </si>
  <si>
    <t>SOT-143</t>
  </si>
  <si>
    <t>C2128</t>
  </si>
  <si>
    <t>Switching diode 100V 150mA SOD-323</t>
  </si>
  <si>
    <t>SOD-323</t>
  </si>
  <si>
    <t>C3018484</t>
  </si>
  <si>
    <t>FUXINSEMI BSS84 P-ch MOSFET 50V 130mA SOT-23</t>
  </si>
  <si>
    <t>SOT-23</t>
  </si>
  <si>
    <t>C84817</t>
  </si>
  <si>
    <t>Boost DC-DC 2–24V in 28V out 2A SOT-23-6</t>
  </si>
  <si>
    <t>SOT-23-6</t>
  </si>
  <si>
    <t>C25346894</t>
  </si>
  <si>
    <t>Nordic nPM1300 PMIC WLCSP-35</t>
  </si>
  <si>
    <t>WLCSP-35</t>
  </si>
  <si>
    <t>C437655</t>
  </si>
  <si>
    <t>Bosch BMA400 3-axis accelerometer LGA-12</t>
  </si>
  <si>
    <t>LGA-12 (2×2mm)</t>
  </si>
  <si>
    <t>C190794</t>
  </si>
  <si>
    <t>Nordic nRF52840-QIAA-R BLE SoC AQFN-73</t>
  </si>
  <si>
    <t>AQFN-73</t>
  </si>
  <si>
    <t>C8545</t>
  </si>
  <si>
    <t>2N7002 N-ch MOSFET 60V 300mA SOT-23</t>
  </si>
  <si>
    <t>C97604</t>
  </si>
  <si>
    <t>Seiko 32.768kHz crystal ±20ppm 7pF SMD3215</t>
  </si>
  <si>
    <t>SMD3215-2P</t>
  </si>
  <si>
    <t>TBD</t>
  </si>
  <si>
    <t>4.7kΩ ±1% 0.1W resistor, 0402</t>
  </si>
  <si>
    <t>0402</t>
  </si>
  <si>
    <t>100Ω ±1% 0.1W resistor, 0402</t>
  </si>
  <si>
    <t>2.2Ω ±5% 0.1W resistor, 0402</t>
  </si>
  <si>
    <t>C77131</t>
  </si>
  <si>
    <t>Murata NCP15XH103F03RC NTC 10kΩ B=3380K 0402</t>
  </si>
  <si>
    <t>1.5µH ±20% power inductor ≥3A, SMD 3×3mm</t>
  </si>
  <si>
    <t>SMD 3×3mm</t>
  </si>
  <si>
    <t>C2843891</t>
  </si>
  <si>
    <t>XINGLIGHT XL-3030UWC-1W-3V 6500K strobe LED SMD3030 (×4 array)</t>
  </si>
  <si>
    <t>SMD3030</t>
  </si>
  <si>
    <t>4.7µH ±20% power inductor ≥1.3A, SMD 4×4mm</t>
  </si>
  <si>
    <t>SMD 4×4mm</t>
  </si>
  <si>
    <t>C8678</t>
  </si>
  <si>
    <t>SS34 Schottky diode 40V 3A SMA (MT3608 rectifier)</t>
  </si>
  <si>
    <t>SMA (DO-214AC)</t>
  </si>
  <si>
    <t>C64043</t>
  </si>
  <si>
    <t>240kΩ ±1% 62.5mW 0402 resistor (MT3608 R1, sets 15V out)</t>
  </si>
  <si>
    <t>10kΩ ±1% 0.1W resistor, 0402</t>
  </si>
  <si>
    <t>22µF 16V X5R ±20% MLCC, 0805</t>
  </si>
  <si>
    <t>0805</t>
  </si>
  <si>
    <t>C52306</t>
  </si>
  <si>
    <t>22µF 25V X5R ±10% 1210 MLCC (MT3608 COUT, rated &gt;15V output)</t>
  </si>
  <si>
    <t>1210</t>
  </si>
  <si>
    <t>C53084453</t>
  </si>
  <si>
    <t>100nF 50V X7R ±20% 0402 MLCC (decoupling: nRF52840×8, nRF9151×6, nPM1300×4, BMA400×2)</t>
  </si>
  <si>
    <t>C106254</t>
  </si>
  <si>
    <t>1µF 10V X5R ±10% 0402 MLCC Basic (bulk bypass: nRF52840×2, nRF9151×2, nPM1300×2)</t>
  </si>
  <si>
    <t>C109456</t>
  </si>
  <si>
    <t>4.7µF 10V X5R ±10% 0603 MLCC (nPM1300 BUCK1/BUCK2 in/out caps)</t>
  </si>
  <si>
    <t>0603</t>
  </si>
  <si>
    <t>C466222</t>
  </si>
  <si>
    <t>10pF 50V C0G ±5% 0402 MLCC (HFXO 32MHz crystal load caps, CL=8pF)</t>
  </si>
  <si>
    <t>C41361096</t>
  </si>
  <si>
    <t>5pF 50V C0G 0402 MLCC (LFXO 32.768kHz load caps ×2 crystals, CL=7pF)</t>
  </si>
  <si>
    <t>LiPo 800–1000mAh 3.7V flat pouch cell, JST-PH 2mm — source externally (not JLCPCB)</t>
  </si>
  <si>
    <t>TOTAL</t>
  </si>
  <si>
    <t>SEGGER J-Link EDU Mini - JTAG/SWD Debugger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</si>
</sst>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00"/>
    <numFmt numFmtId="165" formatCode="[$$-409]#,##0.00;[Red]\-[$$-409]#,##0.00"/>
    <numFmt numFmtId="166" formatCode="\$#,##0.00"/>
  </numFmts>
  <fonts count="6">
    <font>
      <sz val="11"/>
      <color theme="1"/>
      <name val="Calibri"/>
      <family val="2"/>
      <charset val="1"/>
    </font>
    <font>
      <u/>
      <sz val="11"/>
      <color rgb="FF0563C1"/>
      <name val="Cambria"/>
      <charset val="1"/>
    </font>
    <font>
      <b/>
      <sz val="11"/>
      <name val="Cambria"/>
      <charset val="1"/>
    </font>
    <font>
      <sz val="11"/>
      <name val="Calibri"/>
    </font>
    <font>
      <b/>
      <sz val="11"/>
      <name val="Calibri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1" fillId="0" borderId="0" xfId="0" applyFont="1"/>
    <xf numFmtId="164" fontId="0" fillId="0" borderId="0" xfId="0" applyNumberFormat="1"/>
    <xf numFmtId="164" fontId="2" fillId="0" borderId="0" xfId="0" applyNumberFormat="1" applyFont="1"/>
    <xf numFmtId="166" fontId="0" fillId="0" borderId="0" xfId="0" applyNumberFormat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164" fontId="0" fillId="3" borderId="0" xfId="0" applyNumberFormat="1" applyFill="1"/>
    <xf numFmtId="0" fontId="3" fillId="3" borderId="0" xfId="0" applyFont="1" applyFill="1"/>
    <xf numFmtId="165" fontId="0" fillId="3" borderId="0" xfId="0" applyNumberFormat="1" applyFill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USB-Connectors_SHOU-HAN-TYPE-C-6P_C456012.html" TargetMode="External"/><Relationship Id="rId18" Type="http://schemas.openxmlformats.org/officeDocument/2006/relationships/hyperlink" Target="https://www.lcsc.com/product-detail/Power-Management-Specialized_Nordic-Semicon-NPM1300-CAAA-R7_C25346894.html" TargetMode="External"/><Relationship Id="rId26" Type="http://schemas.openxmlformats.org/officeDocument/2006/relationships/hyperlink" Target="https://www.lcsc.com/product-detail/C64043.html" TargetMode="External"/><Relationship Id="rId3" Type="http://schemas.openxmlformats.org/officeDocument/2006/relationships/hyperlink" Target="https://www.digikey.es/en/products/detail/dfrobot/SEN0348/13166493" TargetMode="External"/><Relationship Id="rId21" Type="http://schemas.openxmlformats.org/officeDocument/2006/relationships/hyperlink" Target="https://www.lcsc.com/product-detail/MOSFETs_JSCJ-2N7002_C8545.html" TargetMode="External"/><Relationship Id="rId7" Type="http://schemas.openxmlformats.org/officeDocument/2006/relationships/hyperlink" Target="https://www.lcsc.com/product-detail/RF-Modules_Nordic-Semicon-nRF9151-LACA-R7_C22397843.html" TargetMode="External"/><Relationship Id="rId12" Type="http://schemas.openxmlformats.org/officeDocument/2006/relationships/hyperlink" Target="https://www.lcsc.com/product-detail/Coaxial-Connectors-RF_BAT-WIRELESS-BWU-FL-IPEX1_C5137195.html" TargetMode="External"/><Relationship Id="rId17" Type="http://schemas.openxmlformats.org/officeDocument/2006/relationships/hyperlink" Target="https://www.lcsc.com/product-detail/DC-DC-Converters_XI-AN-Aerosemi-Tech-MT3608_C84817.html" TargetMode="External"/><Relationship Id="rId25" Type="http://schemas.openxmlformats.org/officeDocument/2006/relationships/hyperlink" Target="https://www.lcsc.com/product-detail/C8678.html" TargetMode="External"/><Relationship Id="rId33" Type="http://schemas.openxmlformats.org/officeDocument/2006/relationships/hyperlink" Target="https://www.adafruit.com/product/3571" TargetMode="External"/><Relationship Id="rId2" Type="http://schemas.openxmlformats.org/officeDocument/2006/relationships/hyperlink" Target="https://www.digikey.es/en/products/detail/adafruit-industries-llc/412/5819056" TargetMode="External"/><Relationship Id="rId16" Type="http://schemas.openxmlformats.org/officeDocument/2006/relationships/hyperlink" Target="https://www.lcsc.com/product-detail/MOSFETs_FUXINSEMI-BSS84_C3018484.html" TargetMode="External"/><Relationship Id="rId20" Type="http://schemas.openxmlformats.org/officeDocument/2006/relationships/hyperlink" Target="https://www.lcsc.com/product-detail/RF-Transceiver-ICs_Nordic-Semicon-NRF52840-QIAA-R_C190794.html" TargetMode="External"/><Relationship Id="rId29" Type="http://schemas.openxmlformats.org/officeDocument/2006/relationships/hyperlink" Target="https://www.lcsc.com/product-detail/C106254.html" TargetMode="External"/><Relationship Id="rId1" Type="http://schemas.openxmlformats.org/officeDocument/2006/relationships/hyperlink" Target="https://www.digikey.es/en/products/detail/nordic-semiconductor-asa/NRF9151-DK/24420446" TargetMode="External"/><Relationship Id="rId6" Type="http://schemas.openxmlformats.org/officeDocument/2006/relationships/hyperlink" Target="https://www.digikey.es/en/products/detail/taoglas-limited/FXP301-A-001/28531862?s=N4IgTCBcDaIGIA0AKBmADARgHQEEtsxAF0BfIA" TargetMode="External"/><Relationship Id="rId11" Type="http://schemas.openxmlformats.org/officeDocument/2006/relationships/hyperlink" Target="https://www.lcsc.com/product-detail/SIM-Card-Connectors_XUNPU-SMN-303_C266888.html" TargetMode="External"/><Relationship Id="rId24" Type="http://schemas.openxmlformats.org/officeDocument/2006/relationships/hyperlink" Target="https://www.lcsc.com/product-detail/LED-Indication-Discrete_XINGLIGHT-XL-3030UWC-1W-3V_C2843891.html" TargetMode="External"/><Relationship Id="rId32" Type="http://schemas.openxmlformats.org/officeDocument/2006/relationships/hyperlink" Target="https://www.lcsc.com/product-detail/C41361096.html" TargetMode="External"/><Relationship Id="rId5" Type="http://schemas.openxmlformats.org/officeDocument/2006/relationships/hyperlink" Target="https://iot.cards/en/shop" TargetMode="External"/><Relationship Id="rId15" Type="http://schemas.openxmlformats.org/officeDocument/2006/relationships/hyperlink" Target="https://www.lcsc.com/product-detail/Switching-Diodes_JSCJ-1N4148WS_C2128.html" TargetMode="External"/><Relationship Id="rId23" Type="http://schemas.openxmlformats.org/officeDocument/2006/relationships/hyperlink" Target="https://www.lcsc.com/product-detail/NTC-Thermistors_Murata-Electronics-NCP15XH103F03RC_C77131.html" TargetMode="External"/><Relationship Id="rId28" Type="http://schemas.openxmlformats.org/officeDocument/2006/relationships/hyperlink" Target="https://www.lcsc.com/product-detail/C53084453.html" TargetMode="External"/><Relationship Id="rId10" Type="http://schemas.openxmlformats.org/officeDocument/2006/relationships/hyperlink" Target="https://www.lcsc.com/product-detail/Wire-To-Board-Connector_JST-B2B-PH-K-S-LF-SN_C131337.html" TargetMode="External"/><Relationship Id="rId19" Type="http://schemas.openxmlformats.org/officeDocument/2006/relationships/hyperlink" Target="https://www.lcsc.com/product-detail/Accelerometers_Bosch-Sensortec-BMA400_C437655.html" TargetMode="External"/><Relationship Id="rId31" Type="http://schemas.openxmlformats.org/officeDocument/2006/relationships/hyperlink" Target="https://www.lcsc.com/product-detail/C466222.html" TargetMode="External"/><Relationship Id="rId4" Type="http://schemas.openxmlformats.org/officeDocument/2006/relationships/hyperlink" Target="https://www.digikey.es/en/products/detail/same-sky-formerly-cui-devices/CEB-35035-L100/25972996" TargetMode="External"/><Relationship Id="rId9" Type="http://schemas.openxmlformats.org/officeDocument/2006/relationships/hyperlink" Target="https://www.lcsc.com/product-detail/Crystals_Seiko-Epson-Q22FA12800025_C187794.html" TargetMode="External"/><Relationship Id="rId14" Type="http://schemas.openxmlformats.org/officeDocument/2006/relationships/hyperlink" Target="https://www.lcsc.com/product-detail/ESD-and-Surge-Protection-TVS-ESD_TECH-PUBLIC-PRTR5V0U2X_C2827688.html" TargetMode="External"/><Relationship Id="rId22" Type="http://schemas.openxmlformats.org/officeDocument/2006/relationships/hyperlink" Target="https://www.lcsc.com/product-detail/Crystals_Seiko-Epson-SC-32S32-768kHz20PPM7pF_C97604.html" TargetMode="External"/><Relationship Id="rId27" Type="http://schemas.openxmlformats.org/officeDocument/2006/relationships/hyperlink" Target="https://www.lcsc.com/product-detail/C52306.html" TargetMode="External"/><Relationship Id="rId30" Type="http://schemas.openxmlformats.org/officeDocument/2006/relationships/hyperlink" Target="https://www.lcsc.com/product-detail/C109456.html" TargetMode="External"/><Relationship Id="rId8" Type="http://schemas.openxmlformats.org/officeDocument/2006/relationships/hyperlink" Target="https://www.lcsc.com/product-detail/Wire-To-Board-Connector_JST-SM06B-SRSS-TB-LF-SN_C1604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12" zoomScaleNormal="100" workbookViewId="0">
      <selection activeCell="K29" sqref="K29"/>
    </sheetView>
  </sheetViews>
  <sheetFormatPr defaultColWidth="8.7109375" defaultRowHeight="15" customHeight="1"/>
  <cols>
    <col min="2" max="2" width="14.5703125" customWidth="1"/>
    <col min="4" max="4" width="74.28515625" customWidth="1"/>
    <col min="5" max="5" width="13" customWidth="1"/>
    <col min="6" max="6" width="9.7109375" customWidth="1"/>
  </cols>
  <sheetData>
    <row r="1" spans="1:8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</row>
    <row r="2" spans="1:8" ht="15" customHeight="1">
      <c r="A2" s="1">
        <v>1</v>
      </c>
      <c r="B2" s="1" t="s">
        <v>8</v>
      </c>
      <c r="C2" s="1">
        <v>1</v>
      </c>
      <c r="D2" s="1" t="s">
        <v>9</v>
      </c>
      <c r="E2" s="2">
        <v>102.43</v>
      </c>
      <c r="F2" s="2">
        <f>E2*C2</f>
        <v>102.43</v>
      </c>
      <c r="G2" t="s">
        <v>10</v>
      </c>
      <c r="H2" t="s">
        <v>11</v>
      </c>
    </row>
    <row r="3" spans="1:8" ht="15" customHeight="1">
      <c r="A3" s="1">
        <v>2</v>
      </c>
      <c r="B3" s="1" t="s">
        <v>12</v>
      </c>
      <c r="C3" s="1">
        <v>1</v>
      </c>
      <c r="D3" s="1" t="s">
        <v>13</v>
      </c>
      <c r="E3" s="2">
        <v>7.5</v>
      </c>
      <c r="F3" s="2">
        <f>E3*C3</f>
        <v>7.5</v>
      </c>
      <c r="G3" t="s">
        <v>10</v>
      </c>
      <c r="H3" t="s">
        <v>14</v>
      </c>
    </row>
    <row r="4" spans="1:8" ht="15" customHeight="1">
      <c r="A4" s="1">
        <v>3</v>
      </c>
      <c r="B4" s="1" t="s">
        <v>15</v>
      </c>
      <c r="C4" s="1">
        <v>1</v>
      </c>
      <c r="D4" s="1" t="s">
        <v>16</v>
      </c>
      <c r="E4" s="2">
        <v>22.9</v>
      </c>
      <c r="F4" s="2">
        <f>E4*C4</f>
        <v>22.9</v>
      </c>
      <c r="G4" t="s">
        <v>10</v>
      </c>
      <c r="H4" t="s">
        <v>17</v>
      </c>
    </row>
    <row r="5" spans="1:8" ht="15" customHeight="1">
      <c r="A5" s="1">
        <v>4</v>
      </c>
      <c r="B5" s="1" t="s">
        <v>18</v>
      </c>
      <c r="C5" s="1">
        <v>4</v>
      </c>
      <c r="D5" s="1" t="s">
        <v>19</v>
      </c>
      <c r="E5" s="2">
        <v>1.34</v>
      </c>
      <c r="F5" s="2">
        <f>E5*C5</f>
        <v>5.36</v>
      </c>
      <c r="G5" t="s">
        <v>10</v>
      </c>
      <c r="H5" t="s">
        <v>20</v>
      </c>
    </row>
    <row r="6" spans="1:8" ht="15" customHeight="1">
      <c r="A6" s="1">
        <v>5</v>
      </c>
      <c r="B6" s="1" t="s">
        <v>21</v>
      </c>
      <c r="C6" s="1">
        <v>1</v>
      </c>
      <c r="D6" s="1" t="s">
        <v>22</v>
      </c>
      <c r="E6" s="2">
        <v>17.420000000000002</v>
      </c>
      <c r="F6" s="2">
        <f>E6*C6</f>
        <v>17.420000000000002</v>
      </c>
      <c r="G6" t="s">
        <v>23</v>
      </c>
      <c r="H6" t="s">
        <v>24</v>
      </c>
    </row>
    <row r="7" spans="1:8" ht="15" customHeight="1">
      <c r="A7">
        <v>6</v>
      </c>
      <c r="B7" s="3" t="s">
        <v>25</v>
      </c>
      <c r="C7">
        <v>1</v>
      </c>
      <c r="D7" t="s">
        <v>26</v>
      </c>
      <c r="E7" s="4">
        <v>5.46</v>
      </c>
      <c r="F7" s="4">
        <f>E7*C7</f>
        <v>5.46</v>
      </c>
      <c r="G7" t="s">
        <v>10</v>
      </c>
      <c r="H7" t="s">
        <v>27</v>
      </c>
    </row>
    <row r="8" spans="1:8" ht="15" customHeight="1">
      <c r="A8" s="8">
        <v>7</v>
      </c>
      <c r="B8" s="9" t="s">
        <v>28</v>
      </c>
      <c r="C8" s="8">
        <v>1</v>
      </c>
      <c r="D8" s="8" t="s">
        <v>29</v>
      </c>
      <c r="E8" s="10">
        <v>16.28</v>
      </c>
      <c r="F8" s="10">
        <f>E8*C8</f>
        <v>16.28</v>
      </c>
      <c r="G8" s="8" t="s">
        <v>30</v>
      </c>
      <c r="H8" t="s">
        <v>31</v>
      </c>
    </row>
    <row r="9" spans="1:8" ht="15" customHeight="1">
      <c r="A9" s="8">
        <v>8</v>
      </c>
      <c r="B9" s="9" t="s">
        <v>32</v>
      </c>
      <c r="C9" s="8">
        <v>5</v>
      </c>
      <c r="D9" s="8" t="s">
        <v>33</v>
      </c>
      <c r="E9" s="10">
        <v>0.30030000000000001</v>
      </c>
      <c r="F9" s="10">
        <f>E9*C9</f>
        <v>1.5015000000000001</v>
      </c>
      <c r="G9" s="8" t="s">
        <v>30</v>
      </c>
      <c r="H9" t="s">
        <v>34</v>
      </c>
    </row>
    <row r="10" spans="1:8" ht="15" customHeight="1">
      <c r="A10" s="8">
        <v>9</v>
      </c>
      <c r="B10" s="9" t="s">
        <v>35</v>
      </c>
      <c r="C10" s="8">
        <v>5</v>
      </c>
      <c r="D10" s="8" t="s">
        <v>36</v>
      </c>
      <c r="E10" s="10">
        <v>0.2336</v>
      </c>
      <c r="F10" s="10">
        <f>E10*C10</f>
        <v>1.1679999999999999</v>
      </c>
      <c r="G10" s="8" t="s">
        <v>30</v>
      </c>
      <c r="H10" t="s">
        <v>37</v>
      </c>
    </row>
    <row r="11" spans="1:8" ht="15" customHeight="1">
      <c r="A11" s="8">
        <v>10</v>
      </c>
      <c r="B11" s="9" t="s">
        <v>38</v>
      </c>
      <c r="C11" s="8">
        <v>20</v>
      </c>
      <c r="D11" s="8" t="s">
        <v>39</v>
      </c>
      <c r="E11" s="10">
        <v>3.5000000000000003E-2</v>
      </c>
      <c r="F11" s="10">
        <f>E11*C11</f>
        <v>0.70000000000000007</v>
      </c>
      <c r="G11" s="8" t="s">
        <v>30</v>
      </c>
      <c r="H11" t="s">
        <v>40</v>
      </c>
    </row>
    <row r="12" spans="1:8" ht="15" customHeight="1">
      <c r="A12" s="8">
        <v>11</v>
      </c>
      <c r="B12" s="9" t="s">
        <v>41</v>
      </c>
      <c r="C12" s="8">
        <v>1</v>
      </c>
      <c r="D12" s="8" t="s">
        <v>42</v>
      </c>
      <c r="E12" s="10">
        <v>0.46929999999999999</v>
      </c>
      <c r="F12" s="10">
        <f>E12*C12</f>
        <v>0.46929999999999999</v>
      </c>
      <c r="G12" s="8" t="s">
        <v>30</v>
      </c>
      <c r="H12" t="s">
        <v>43</v>
      </c>
    </row>
    <row r="13" spans="1:8" ht="15" customHeight="1">
      <c r="A13" s="8">
        <v>12</v>
      </c>
      <c r="B13" s="9" t="s">
        <v>44</v>
      </c>
      <c r="C13" s="8">
        <v>10</v>
      </c>
      <c r="D13" s="8" t="s">
        <v>45</v>
      </c>
      <c r="E13" s="10">
        <v>3.7999999999999999E-2</v>
      </c>
      <c r="F13" s="10">
        <f>E13*C13</f>
        <v>0.38</v>
      </c>
      <c r="G13" s="8" t="s">
        <v>30</v>
      </c>
      <c r="H13" t="s">
        <v>46</v>
      </c>
    </row>
    <row r="14" spans="1:8" ht="15" customHeight="1">
      <c r="A14" s="8">
        <v>13</v>
      </c>
      <c r="B14" s="9" t="s">
        <v>47</v>
      </c>
      <c r="C14" s="8">
        <v>10</v>
      </c>
      <c r="D14" s="8" t="s">
        <v>48</v>
      </c>
      <c r="E14" s="10">
        <v>3.6999999999999998E-2</v>
      </c>
      <c r="F14" s="10">
        <f>E14*C14</f>
        <v>0.37</v>
      </c>
      <c r="G14" s="8" t="s">
        <v>30</v>
      </c>
      <c r="H14" t="s">
        <v>49</v>
      </c>
    </row>
    <row r="15" spans="1:8" ht="15" customHeight="1">
      <c r="A15" s="8">
        <v>14</v>
      </c>
      <c r="B15" s="9" t="s">
        <v>50</v>
      </c>
      <c r="C15" s="8">
        <v>10</v>
      </c>
      <c r="D15" s="8" t="s">
        <v>51</v>
      </c>
      <c r="E15" s="10">
        <v>6.13E-2</v>
      </c>
      <c r="F15" s="10">
        <f>E15*C15</f>
        <v>0.61299999999999999</v>
      </c>
      <c r="G15" s="8" t="s">
        <v>30</v>
      </c>
      <c r="H15" t="s">
        <v>52</v>
      </c>
    </row>
    <row r="16" spans="1:8" ht="15" customHeight="1">
      <c r="A16" s="8">
        <v>15</v>
      </c>
      <c r="B16" s="9" t="s">
        <v>53</v>
      </c>
      <c r="C16" s="8">
        <v>50</v>
      </c>
      <c r="D16" s="8" t="s">
        <v>54</v>
      </c>
      <c r="E16" s="10">
        <v>9.7000000000000003E-3</v>
      </c>
      <c r="F16" s="10">
        <f>E16*C16</f>
        <v>0.48499999999999999</v>
      </c>
      <c r="G16" s="8" t="s">
        <v>30</v>
      </c>
      <c r="H16" t="s">
        <v>55</v>
      </c>
    </row>
    <row r="17" spans="1:8" ht="15" customHeight="1">
      <c r="A17" s="8">
        <v>16</v>
      </c>
      <c r="B17" s="9" t="s">
        <v>56</v>
      </c>
      <c r="C17" s="8">
        <v>20</v>
      </c>
      <c r="D17" s="8" t="s">
        <v>57</v>
      </c>
      <c r="E17" s="10">
        <v>2.01E-2</v>
      </c>
      <c r="F17" s="10">
        <f>E17*C17</f>
        <v>0.40200000000000002</v>
      </c>
      <c r="G17" s="8" t="s">
        <v>30</v>
      </c>
      <c r="H17" t="s">
        <v>58</v>
      </c>
    </row>
    <row r="18" spans="1:8" ht="15" customHeight="1">
      <c r="A18" s="8">
        <v>17</v>
      </c>
      <c r="B18" s="9" t="s">
        <v>59</v>
      </c>
      <c r="C18" s="8">
        <v>10</v>
      </c>
      <c r="D18" s="8" t="s">
        <v>60</v>
      </c>
      <c r="E18" s="10">
        <v>7.8600000000000003E-2</v>
      </c>
      <c r="F18" s="10">
        <f>E18*C18</f>
        <v>0.78600000000000003</v>
      </c>
      <c r="G18" s="8" t="s">
        <v>30</v>
      </c>
      <c r="H18" t="s">
        <v>61</v>
      </c>
    </row>
    <row r="19" spans="1:8" ht="15" customHeight="1">
      <c r="A19" s="8">
        <v>18</v>
      </c>
      <c r="B19" s="9" t="s">
        <v>62</v>
      </c>
      <c r="C19" s="8">
        <v>1</v>
      </c>
      <c r="D19" s="8" t="s">
        <v>63</v>
      </c>
      <c r="E19" s="10">
        <v>2.5838000000000001</v>
      </c>
      <c r="F19" s="10">
        <f>E19*C19</f>
        <v>2.5838000000000001</v>
      </c>
      <c r="G19" s="8" t="s">
        <v>30</v>
      </c>
      <c r="H19" t="s">
        <v>64</v>
      </c>
    </row>
    <row r="20" spans="1:8" ht="15" customHeight="1">
      <c r="A20" s="8">
        <v>19</v>
      </c>
      <c r="B20" s="9" t="s">
        <v>65</v>
      </c>
      <c r="C20" s="8">
        <v>1</v>
      </c>
      <c r="D20" s="8" t="s">
        <v>66</v>
      </c>
      <c r="E20" s="10">
        <v>3.0566</v>
      </c>
      <c r="F20" s="10">
        <f>E20*C20</f>
        <v>3.0566</v>
      </c>
      <c r="G20" s="8" t="s">
        <v>30</v>
      </c>
      <c r="H20" t="s">
        <v>67</v>
      </c>
    </row>
    <row r="21" spans="1:8" ht="15" customHeight="1">
      <c r="A21" s="8">
        <v>20</v>
      </c>
      <c r="B21" s="9" t="s">
        <v>68</v>
      </c>
      <c r="C21" s="8">
        <v>1</v>
      </c>
      <c r="D21" s="8" t="s">
        <v>69</v>
      </c>
      <c r="E21" s="10">
        <v>5.3920000000000003</v>
      </c>
      <c r="F21" s="10">
        <f>E21*C21</f>
        <v>5.3920000000000003</v>
      </c>
      <c r="G21" s="8" t="s">
        <v>30</v>
      </c>
      <c r="H21" t="s">
        <v>70</v>
      </c>
    </row>
    <row r="22" spans="1:8" ht="15" customHeight="1">
      <c r="A22" s="8">
        <v>21</v>
      </c>
      <c r="B22" s="9" t="s">
        <v>71</v>
      </c>
      <c r="C22" s="8">
        <v>50</v>
      </c>
      <c r="D22" s="8" t="s">
        <v>72</v>
      </c>
      <c r="E22" s="10">
        <v>1.5299999999999999E-2</v>
      </c>
      <c r="F22" s="10">
        <f>E22*C22</f>
        <v>0.76500000000000001</v>
      </c>
      <c r="G22" s="8" t="s">
        <v>30</v>
      </c>
      <c r="H22" t="s">
        <v>58</v>
      </c>
    </row>
    <row r="23" spans="1:8" ht="15" customHeight="1">
      <c r="A23" s="8">
        <v>22</v>
      </c>
      <c r="B23" s="9" t="s">
        <v>73</v>
      </c>
      <c r="C23" s="8">
        <v>5</v>
      </c>
      <c r="D23" s="8" t="s">
        <v>74</v>
      </c>
      <c r="E23" s="10">
        <v>0.1757</v>
      </c>
      <c r="F23" s="10">
        <f>E23*C23</f>
        <v>0.87849999999999995</v>
      </c>
      <c r="G23" s="8" t="s">
        <v>30</v>
      </c>
      <c r="H23" t="s">
        <v>75</v>
      </c>
    </row>
    <row r="24" spans="1:8" ht="15" customHeight="1">
      <c r="A24" s="8">
        <v>23</v>
      </c>
      <c r="B24" s="11" t="s">
        <v>76</v>
      </c>
      <c r="C24" s="8">
        <v>2</v>
      </c>
      <c r="D24" s="8" t="s">
        <v>77</v>
      </c>
      <c r="E24" s="10">
        <v>1.1000000000000001E-3</v>
      </c>
      <c r="F24" s="10">
        <f>E24*C24</f>
        <v>2.2000000000000001E-3</v>
      </c>
      <c r="G24" s="8" t="s">
        <v>30</v>
      </c>
      <c r="H24" t="s">
        <v>78</v>
      </c>
    </row>
    <row r="25" spans="1:8" ht="15" customHeight="1">
      <c r="A25" s="8">
        <v>24</v>
      </c>
      <c r="B25" s="11" t="s">
        <v>76</v>
      </c>
      <c r="C25" s="8">
        <v>100</v>
      </c>
      <c r="D25" s="8" t="s">
        <v>79</v>
      </c>
      <c r="E25" s="10">
        <v>1.1999999999999999E-3</v>
      </c>
      <c r="F25" s="10">
        <f>E25*C25</f>
        <v>0.12</v>
      </c>
      <c r="G25" s="8" t="s">
        <v>30</v>
      </c>
      <c r="H25" t="s">
        <v>78</v>
      </c>
    </row>
    <row r="26" spans="1:8" ht="15" customHeight="1">
      <c r="A26" s="8">
        <v>25</v>
      </c>
      <c r="B26" s="11" t="s">
        <v>76</v>
      </c>
      <c r="C26" s="8">
        <v>1</v>
      </c>
      <c r="D26" s="8" t="s">
        <v>80</v>
      </c>
      <c r="E26" s="10">
        <v>1.1000000000000001E-3</v>
      </c>
      <c r="F26" s="10">
        <f>E26*C26</f>
        <v>1.1000000000000001E-3</v>
      </c>
      <c r="G26" s="8" t="s">
        <v>30</v>
      </c>
      <c r="H26" t="s">
        <v>78</v>
      </c>
    </row>
    <row r="27" spans="1:8" ht="15" customHeight="1">
      <c r="A27" s="8">
        <v>26</v>
      </c>
      <c r="B27" s="9" t="s">
        <v>81</v>
      </c>
      <c r="C27" s="8">
        <v>50</v>
      </c>
      <c r="D27" s="8" t="s">
        <v>82</v>
      </c>
      <c r="E27" s="10">
        <v>0.02</v>
      </c>
      <c r="F27" s="10">
        <f>E27*C27</f>
        <v>1</v>
      </c>
      <c r="G27" s="8" t="s">
        <v>30</v>
      </c>
      <c r="H27" t="s">
        <v>78</v>
      </c>
    </row>
    <row r="28" spans="1:8" ht="15" customHeight="1">
      <c r="A28" s="8">
        <v>27</v>
      </c>
      <c r="B28" s="11" t="s">
        <v>76</v>
      </c>
      <c r="C28" s="8">
        <v>2</v>
      </c>
      <c r="D28" s="8" t="s">
        <v>83</v>
      </c>
      <c r="E28" s="10">
        <v>4.8000000000000001E-2</v>
      </c>
      <c r="F28" s="10">
        <f>E28*C28</f>
        <v>9.6000000000000002E-2</v>
      </c>
      <c r="G28" s="8" t="s">
        <v>30</v>
      </c>
      <c r="H28" t="s">
        <v>84</v>
      </c>
    </row>
    <row r="29" spans="1:8" ht="15" customHeight="1">
      <c r="A29" s="8">
        <v>28</v>
      </c>
      <c r="B29" s="9" t="s">
        <v>85</v>
      </c>
      <c r="C29" s="8">
        <v>10</v>
      </c>
      <c r="D29" s="8" t="s">
        <v>86</v>
      </c>
      <c r="E29" s="10">
        <v>4.2500000000000003E-2</v>
      </c>
      <c r="F29" s="10">
        <f>E29*C29</f>
        <v>0.42500000000000004</v>
      </c>
      <c r="G29" s="8" t="s">
        <v>30</v>
      </c>
      <c r="H29" t="s">
        <v>87</v>
      </c>
    </row>
    <row r="30" spans="1:8" ht="15" customHeight="1">
      <c r="A30" s="8">
        <v>29</v>
      </c>
      <c r="B30" s="11" t="s">
        <v>76</v>
      </c>
      <c r="C30" s="8">
        <v>1</v>
      </c>
      <c r="D30" s="8" t="s">
        <v>88</v>
      </c>
      <c r="E30" s="10">
        <v>9.11E-2</v>
      </c>
      <c r="F30" s="10">
        <f>E30*C30</f>
        <v>9.11E-2</v>
      </c>
      <c r="G30" s="8" t="s">
        <v>30</v>
      </c>
      <c r="H30" t="s">
        <v>89</v>
      </c>
    </row>
    <row r="31" spans="1:8" ht="15" customHeight="1">
      <c r="A31" s="8">
        <v>30</v>
      </c>
      <c r="B31" s="9" t="s">
        <v>90</v>
      </c>
      <c r="C31" s="8">
        <v>20</v>
      </c>
      <c r="D31" s="8" t="s">
        <v>91</v>
      </c>
      <c r="E31" s="10">
        <v>3.0200000000000001E-2</v>
      </c>
      <c r="F31" s="10">
        <f>E31*C31</f>
        <v>0.60399999999999998</v>
      </c>
      <c r="G31" s="8" t="s">
        <v>30</v>
      </c>
      <c r="H31" t="s">
        <v>92</v>
      </c>
    </row>
    <row r="32" spans="1:8" ht="15" customHeight="1">
      <c r="A32" s="8">
        <v>31</v>
      </c>
      <c r="B32" s="9" t="s">
        <v>93</v>
      </c>
      <c r="C32" s="8">
        <v>100</v>
      </c>
      <c r="D32" s="8" t="s">
        <v>94</v>
      </c>
      <c r="E32" s="10">
        <v>1E-3</v>
      </c>
      <c r="F32" s="10">
        <f>E32*C32</f>
        <v>0.1</v>
      </c>
      <c r="G32" s="8" t="s">
        <v>30</v>
      </c>
      <c r="H32" s="8" t="s">
        <v>78</v>
      </c>
    </row>
    <row r="33" spans="1:8" ht="15" customHeight="1">
      <c r="A33" s="8">
        <v>32</v>
      </c>
      <c r="B33" s="11" t="s">
        <v>76</v>
      </c>
      <c r="C33" s="8">
        <v>100</v>
      </c>
      <c r="D33" s="8" t="s">
        <v>95</v>
      </c>
      <c r="E33" s="10">
        <v>2.8E-3</v>
      </c>
      <c r="F33" s="10">
        <f>E33*C33</f>
        <v>0.27999999999999997</v>
      </c>
      <c r="G33" s="8" t="s">
        <v>30</v>
      </c>
      <c r="H33" s="8" t="s">
        <v>78</v>
      </c>
    </row>
    <row r="34" spans="1:8" ht="15" customHeight="1">
      <c r="A34" s="8">
        <v>33</v>
      </c>
      <c r="B34" s="11" t="s">
        <v>76</v>
      </c>
      <c r="C34" s="8">
        <v>10</v>
      </c>
      <c r="D34" s="8" t="s">
        <v>96</v>
      </c>
      <c r="E34" s="10">
        <v>8.5699999999999998E-2</v>
      </c>
      <c r="F34" s="10">
        <f>E34*C34</f>
        <v>0.85699999999999998</v>
      </c>
      <c r="G34" s="8" t="s">
        <v>30</v>
      </c>
      <c r="H34" s="8" t="s">
        <v>97</v>
      </c>
    </row>
    <row r="35" spans="1:8" ht="15" customHeight="1">
      <c r="A35" s="8">
        <v>34</v>
      </c>
      <c r="B35" s="9" t="s">
        <v>98</v>
      </c>
      <c r="C35" s="8">
        <v>2</v>
      </c>
      <c r="D35" s="8" t="s">
        <v>99</v>
      </c>
      <c r="E35" s="10">
        <v>0.18260000000000001</v>
      </c>
      <c r="F35" s="10">
        <f>E35*C35</f>
        <v>0.36520000000000002</v>
      </c>
      <c r="G35" s="8" t="s">
        <v>30</v>
      </c>
      <c r="H35" s="8" t="s">
        <v>100</v>
      </c>
    </row>
    <row r="36" spans="1:8" ht="15" customHeight="1">
      <c r="A36" s="8">
        <v>35</v>
      </c>
      <c r="B36" s="9" t="s">
        <v>101</v>
      </c>
      <c r="C36" s="8">
        <v>100</v>
      </c>
      <c r="D36" s="8" t="s">
        <v>102</v>
      </c>
      <c r="E36" s="10">
        <v>2.0999999999999999E-3</v>
      </c>
      <c r="F36" s="10">
        <f>E36*C36</f>
        <v>0.21</v>
      </c>
      <c r="G36" s="8" t="s">
        <v>30</v>
      </c>
      <c r="H36" s="8" t="s">
        <v>78</v>
      </c>
    </row>
    <row r="37" spans="1:8" ht="15" customHeight="1">
      <c r="A37" s="8">
        <v>36</v>
      </c>
      <c r="B37" s="9" t="s">
        <v>103</v>
      </c>
      <c r="C37" s="8">
        <v>100</v>
      </c>
      <c r="D37" s="8" t="s">
        <v>104</v>
      </c>
      <c r="E37" s="10">
        <v>5.4999999999999997E-3</v>
      </c>
      <c r="F37" s="10">
        <f>E37*C37</f>
        <v>0.54999999999999993</v>
      </c>
      <c r="G37" s="8" t="s">
        <v>30</v>
      </c>
      <c r="H37" s="8" t="s">
        <v>78</v>
      </c>
    </row>
    <row r="38" spans="1:8" ht="15" customHeight="1">
      <c r="A38" s="8">
        <v>37</v>
      </c>
      <c r="B38" s="9" t="s">
        <v>105</v>
      </c>
      <c r="C38" s="8">
        <v>50</v>
      </c>
      <c r="D38" s="8" t="s">
        <v>106</v>
      </c>
      <c r="E38" s="10">
        <v>2.1000000000000001E-2</v>
      </c>
      <c r="F38" s="10">
        <f>E38*C38</f>
        <v>1.05</v>
      </c>
      <c r="G38" s="8" t="s">
        <v>30</v>
      </c>
      <c r="H38" s="8" t="s">
        <v>107</v>
      </c>
    </row>
    <row r="39" spans="1:8" ht="15" customHeight="1">
      <c r="A39" s="8">
        <v>38</v>
      </c>
      <c r="B39" s="9" t="s">
        <v>108</v>
      </c>
      <c r="C39" s="8">
        <v>50</v>
      </c>
      <c r="D39" s="8" t="s">
        <v>109</v>
      </c>
      <c r="E39" s="10">
        <v>1.6000000000000001E-3</v>
      </c>
      <c r="F39" s="10">
        <f>E39*C39</f>
        <v>0.08</v>
      </c>
      <c r="G39" s="8" t="s">
        <v>30</v>
      </c>
      <c r="H39" s="8" t="s">
        <v>78</v>
      </c>
    </row>
    <row r="40" spans="1:8" ht="15" customHeight="1">
      <c r="A40" s="8">
        <v>39</v>
      </c>
      <c r="B40" s="9" t="s">
        <v>110</v>
      </c>
      <c r="C40" s="8">
        <v>100</v>
      </c>
      <c r="D40" s="8" t="s">
        <v>111</v>
      </c>
      <c r="E40" s="10">
        <v>1.6000000000000001E-3</v>
      </c>
      <c r="F40" s="10">
        <f>E40*C40</f>
        <v>0.16</v>
      </c>
      <c r="G40" s="8" t="s">
        <v>30</v>
      </c>
      <c r="H40" s="8" t="s">
        <v>78</v>
      </c>
    </row>
    <row r="41" spans="1:8" ht="15" customHeight="1">
      <c r="A41" s="8">
        <v>40</v>
      </c>
      <c r="B41" s="8" t="s">
        <v>76</v>
      </c>
      <c r="C41" s="8">
        <v>1</v>
      </c>
      <c r="D41" s="8" t="s">
        <v>112</v>
      </c>
      <c r="E41" s="12"/>
      <c r="F41" s="10">
        <f>E41*C41</f>
        <v>0</v>
      </c>
      <c r="G41" s="8" t="s">
        <v>76</v>
      </c>
      <c r="H41" s="8" t="s">
        <v>24</v>
      </c>
    </row>
    <row r="42" spans="1:8" ht="15" customHeight="1">
      <c r="E42" s="5" t="s">
        <v>113</v>
      </c>
      <c r="F42" s="5">
        <f>SUM(F2:F41)</f>
        <v>202.89230000000006</v>
      </c>
    </row>
    <row r="43" spans="1:8" ht="15" customHeight="1">
      <c r="B43" s="3"/>
      <c r="F43" s="6"/>
    </row>
    <row r="44" spans="1:8" ht="15" customHeight="1">
      <c r="B44" s="3"/>
      <c r="D44" s="13" t="s">
        <v>114</v>
      </c>
    </row>
    <row r="45" spans="1:8" ht="15" customHeight="1">
      <c r="B45" s="3"/>
    </row>
    <row r="46" spans="1:8" ht="15" customHeight="1">
      <c r="B46" s="3"/>
    </row>
    <row r="47" spans="1:8" ht="15" customHeight="1">
      <c r="B47" s="3"/>
    </row>
    <row r="48" spans="1:8" ht="15" customHeight="1">
      <c r="B48" s="3"/>
    </row>
    <row r="49" spans="2:2" ht="15" customHeight="1">
      <c r="B49" s="3"/>
    </row>
    <row r="50" spans="2:2" ht="15" customHeight="1">
      <c r="B50" s="3"/>
    </row>
    <row r="51" spans="2:2" ht="15" customHeight="1">
      <c r="B51" s="3"/>
    </row>
    <row r="52" spans="2:2" ht="15" customHeight="1">
      <c r="B52" s="3"/>
    </row>
    <row r="53" spans="2:2" ht="15" customHeight="1">
      <c r="B53" s="3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7" r:id="rId23" xr:uid="{00000000-0004-0000-0000-000016000000}"/>
    <hyperlink ref="B29" r:id="rId24" xr:uid="{00000000-0004-0000-0000-000017000000}"/>
    <hyperlink ref="B31" r:id="rId25" xr:uid="{00000000-0004-0000-0000-000018000000}"/>
    <hyperlink ref="B32" r:id="rId26" xr:uid="{00000000-0004-0000-0000-000019000000}"/>
    <hyperlink ref="B35" r:id="rId27" xr:uid="{00000000-0004-0000-0000-00001A000000}"/>
    <hyperlink ref="B36" r:id="rId28" xr:uid="{00000000-0004-0000-0000-00001B000000}"/>
    <hyperlink ref="B37" r:id="rId29" xr:uid="{00000000-0004-0000-0000-00001C000000}"/>
    <hyperlink ref="B38" r:id="rId30" xr:uid="{00000000-0004-0000-0000-00001D000000}"/>
    <hyperlink ref="B39" r:id="rId31" xr:uid="{00000000-0004-0000-0000-00001E000000}"/>
    <hyperlink ref="B40" r:id="rId32" xr:uid="{00000000-0004-0000-0000-00001F000000}"/>
    <hyperlink ref="D44" r:id="rId33" xr:uid="{E420387E-8A87-4773-B2B3-0A08379D8742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Andrew Suggs</cp:lastModifiedBy>
  <cp:revision>4</cp:revision>
  <dcterms:created xsi:type="dcterms:W3CDTF">2026-06-15T09:51:36Z</dcterms:created>
  <dcterms:modified xsi:type="dcterms:W3CDTF">2026-06-16T14:12:18Z</dcterms:modified>
  <cp:category/>
  <cp:contentStatus/>
</cp:coreProperties>
</file>