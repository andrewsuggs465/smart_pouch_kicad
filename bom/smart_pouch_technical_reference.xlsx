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" sheetId="1" state="visible" r:id="rId1"/>
    <sheet xmlns:r="http://schemas.openxmlformats.org/officeDocument/2006/relationships" name="Current BOM Review" sheetId="2" state="visible" r:id="rId2"/>
    <sheet xmlns:r="http://schemas.openxmlformats.org/officeDocument/2006/relationships" name="JLC Upload BOM" sheetId="3" state="visible" r:id="rId3"/>
    <sheet xmlns:r="http://schemas.openxmlformats.org/officeDocument/2006/relationships" name="JLC Cart" sheetId="4" state="visible" r:id="rId4"/>
    <sheet xmlns:r="http://schemas.openxmlformats.org/officeDocument/2006/relationships" name="JLC Assembly BOM" sheetId="5" state="visible" r:id="rId5"/>
    <sheet xmlns:r="http://schemas.openxmlformats.org/officeDocument/2006/relationships" name="Unresolved" sheetId="6" state="visible" r:id="rId6"/>
    <sheet xmlns:r="http://schemas.openxmlformats.org/officeDocument/2006/relationships" name="KiCad Raw BOM" sheetId="7" state="visible" r:id="rId7"/>
    <sheet xmlns:r="http://schemas.openxmlformats.org/officeDocument/2006/relationships" name="Legacy Electronics BOM - Sheet1" sheetId="8" state="visible" r:id="rId8"/>
    <sheet xmlns:r="http://schemas.openxmlformats.org/officeDocument/2006/relationships" name="Legacy JLC Cart - Sheet 1" sheetId="9" state="visible" r:id="rId9"/>
  </sheets>
  <definedNames>
    <definedName name="_xlnm._FilterDatabase" localSheetId="0" hidden="1">'Notes'!$A$1:$B$6</definedName>
    <definedName name="_xlnm._FilterDatabase" localSheetId="1" hidden="1">'Current BOM Review'!$A$1:$Q$49</definedName>
    <definedName name="_xlnm._FilterDatabase" localSheetId="2" hidden="1">'JLC Upload BOM'!$A$1:$E$49</definedName>
    <definedName name="_xlnm._FilterDatabase" localSheetId="3" hidden="1">'JLC Cart'!$A$1:$G$49</definedName>
    <definedName name="_xlnm._FilterDatabase" localSheetId="4" hidden="1">'JLC Assembly BOM'!$A$1:$D$49</definedName>
    <definedName name="_xlnm._FilterDatabase" localSheetId="5" hidden="1">'Unresolved'!$A$1:$Q$1</definedName>
    <definedName name="_xlnm._FilterDatabase" localSheetId="6" hidden="1">'KiCad Raw BOM'!$A$1:$I$49</definedName>
    <definedName name="_xlnm._FilterDatabase" localSheetId="7" hidden="1">'Legacy Electronics BOM - Sheet1'!$A$1:$H$53</definedName>
    <definedName name="_xlnm._FilterDatabase" localSheetId="8" hidden="1">'Legacy JLC Cart - Sheet 1'!$A$1:$G$34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Notes" displayName="Notes" ref="A1:B6" headerRowCount="1">
  <autoFilter ref="A1:B6"/>
  <tableColumns count="2">
    <tableColumn id="1" name="Topic"/>
    <tableColumn id="2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urrentBOMReview" displayName="CurrentBOMReview" ref="A1:Q49" headerRowCount="1">
  <autoFilter ref="A1:Q49"/>
  <tableColumns count="17">
    <tableColumn id="1" name="Designators"/>
    <tableColumn id="2" name="Value"/>
    <tableColumn id="3" name="KiCad Footprint"/>
    <tableColumn id="4" name="LCSC Part #"/>
    <tableColumn id="5" name="Manufacturer"/>
    <tableColumn id="6" name="MFR Part #"/>
    <tableColumn id="7" name="Description"/>
    <tableColumn id="8" name="Package"/>
    <tableColumn id="9" name="Library Type"/>
    <tableColumn id="10" name="Stock"/>
    <tableColumn id="11" name="Min Qty"/>
    <tableColumn id="12" name="Reel Qty"/>
    <tableColumn id="13" name="Qty Needed"/>
    <tableColumn id="14" name="Suggested Cart Qty"/>
    <tableColumn id="15" name="Unit Price"/>
    <tableColumn id="16" name="Suggested Cart Total"/>
    <tableColumn id="17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JLCUploadBOM" displayName="JLCUploadBOM" ref="A1:E49" headerRowCount="1">
  <autoFilter ref="A1:E49"/>
  <tableColumns count="5">
    <tableColumn id="1" name="Designator"/>
    <tableColumn id="2" name="Quantity"/>
    <tableColumn id="3" name="Comment"/>
    <tableColumn id="4" name="Footprint"/>
    <tableColumn id="5" name="JLCPCB Part #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JLCCart" displayName="JLCCart" ref="A1:G49" headerRowCount="1">
  <autoFilter ref="A1:G49"/>
  <tableColumns count="7">
    <tableColumn id="1" name="Parts Type"/>
    <tableColumn id="2" name="JLCPCB Part #"/>
    <tableColumn id="3" name="MFR Part #"/>
    <tableColumn id="4" name="Description"/>
    <tableColumn id="5" name="Unit Price"/>
    <tableColumn id="6" name="Qty"/>
    <tableColumn id="7" name="Total Pric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JLCAssemblyBOM" displayName="JLCAssemblyBOM" ref="A1:D49" headerRowCount="1">
  <autoFilter ref="A1:D49"/>
  <tableColumns count="4">
    <tableColumn id="1" name="Comment"/>
    <tableColumn id="2" name="Designator"/>
    <tableColumn id="3" name="Footprint"/>
    <tableColumn id="4" name="LCSC Part #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KiCadRawBOM" displayName="KiCadRawBOM" ref="A1:I49" headerRowCount="1">
  <autoFilter ref="A1:I49"/>
  <tableColumns count="9">
    <tableColumn id="1" name="Refs"/>
    <tableColumn id="2" name="Value"/>
    <tableColumn id="3" name="Footprint"/>
    <tableColumn id="4" name="Qty"/>
    <tableColumn id="5" name="Manufacturer"/>
    <tableColumn id="6" name="MPN"/>
    <tableColumn id="7" name="LCSC Part"/>
    <tableColumn id="8" name="Datasheet"/>
    <tableColumn id="9" name="DN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LegacyElectronicsBOM" displayName="LegacyElectronicsBOM" ref="A1:H53" headerRowCount="1">
  <autoFilter ref="A1:H53"/>
  <tableColumns count="8">
    <tableColumn id="1" name="Line Item"/>
    <tableColumn id="2" name="Part No."/>
    <tableColumn id="3" name="Qty"/>
    <tableColumn id="4" name="Description"/>
    <tableColumn id="5" name="Unit Price"/>
    <tableColumn id="6" name="Amount"/>
    <tableColumn id="7" name="Supplier"/>
    <tableColumn id="8" name="Packag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cyJLCCartSheet1" displayName="LegacyJLCCartSheet1" ref="A1:G34" headerRowCount="1">
  <autoFilter ref="A1:G34"/>
  <tableColumns count="7">
    <tableColumn id="1" name="Parts Type"/>
    <tableColumn id="2" name="JLCPCB Part #"/>
    <tableColumn id="3" name="MFR Part #"/>
    <tableColumn id="4" name="Description"/>
    <tableColumn id="5" name="Unit Price"/>
    <tableColumn id="6" name="Qty"/>
    <tableColumn id="7" name="Total Pri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55" customWidth="1" min="2" max="2"/>
  </cols>
  <sheetData>
    <row r="1">
      <c r="A1" s="1" t="inlineStr">
        <is>
          <t>Topic</t>
        </is>
      </c>
      <c r="B1" s="1" t="inlineStr">
        <is>
          <t>Note</t>
        </is>
      </c>
    </row>
    <row r="2">
      <c r="A2" s="2" t="inlineStr">
        <is>
          <t>Primary JLC upload</t>
        </is>
      </c>
      <c r="B2" s="2" t="inlineStr">
        <is>
          <t>Use smart_pouch_jlcpcb_upload_bom.csv or the JLC Upload BOM sheet. Map JLCPCB Part # as the LCSC/JLC part field.</t>
        </is>
      </c>
    </row>
    <row r="3">
      <c r="A3" s="2" t="inlineStr">
        <is>
          <t>Cart source</t>
        </is>
      </c>
      <c r="B3" s="2" t="inlineStr">
        <is>
          <t>The JLC Cart sheet uses current live JLC data from the BOM builder. Qty is schematic quantity, not high-MOQ pre-order quantity.</t>
        </is>
      </c>
    </row>
    <row r="4">
      <c r="A4" s="2" t="inlineStr">
        <is>
          <t>10uF caps</t>
        </is>
      </c>
      <c r="B4" s="2" t="inlineStr">
        <is>
          <t>C7,C16,C18,C20,C21,C22,C23 are merged into one 10uF C15850 row.</t>
        </is>
      </c>
    </row>
    <row r="5">
      <c r="A5" s="2" t="inlineStr">
        <is>
          <t>High-MOQ replacements</t>
        </is>
      </c>
      <c r="B5" s="2" t="inlineStr">
        <is>
          <t>10k uses C49330233 and 100k uses C144809 instead of C25744/C25741.</t>
        </is>
      </c>
    </row>
    <row r="6">
      <c r="A6" s="2" t="inlineStr">
        <is>
          <t>RF caps</t>
        </is>
      </c>
      <c r="B6" s="2" t="inlineStr">
        <is>
          <t>C25/C26 are treated as pF C0G antenna matching capacitors, not uF bulk capacitors.</t>
        </is>
      </c>
    </row>
  </sheetData>
  <autoFilter ref="A1:B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23" customWidth="1" min="2" max="2"/>
    <col width="55" customWidth="1" min="3" max="3"/>
    <col width="13" customWidth="1" min="4" max="4"/>
    <col width="52" customWidth="1" min="5" max="5"/>
    <col width="23" customWidth="1" min="6" max="6"/>
    <col width="55" customWidth="1" min="7" max="7"/>
    <col width="37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20" customWidth="1" min="14" max="14"/>
    <col width="12" customWidth="1" min="15" max="15"/>
    <col width="22" customWidth="1" min="16" max="16"/>
    <col width="55" customWidth="1" min="17" max="17"/>
  </cols>
  <sheetData>
    <row r="1">
      <c r="A1" s="1" t="inlineStr">
        <is>
          <t>Designators</t>
        </is>
      </c>
      <c r="B1" s="1" t="inlineStr">
        <is>
          <t>Value</t>
        </is>
      </c>
      <c r="C1" s="1" t="inlineStr">
        <is>
          <t>KiCad Footprint</t>
        </is>
      </c>
      <c r="D1" s="1" t="inlineStr">
        <is>
          <t>LCSC Part #</t>
        </is>
      </c>
      <c r="E1" s="1" t="inlineStr">
        <is>
          <t>Manufacturer</t>
        </is>
      </c>
      <c r="F1" s="1" t="inlineStr">
        <is>
          <t>MFR Part #</t>
        </is>
      </c>
      <c r="G1" s="1" t="inlineStr">
        <is>
          <t>Description</t>
        </is>
      </c>
      <c r="H1" s="1" t="inlineStr">
        <is>
          <t>Package</t>
        </is>
      </c>
      <c r="I1" s="1" t="inlineStr">
        <is>
          <t>Library Type</t>
        </is>
      </c>
      <c r="J1" s="1" t="inlineStr">
        <is>
          <t>Stock</t>
        </is>
      </c>
      <c r="K1" s="1" t="inlineStr">
        <is>
          <t>Min Qty</t>
        </is>
      </c>
      <c r="L1" s="1" t="inlineStr">
        <is>
          <t>Reel Qty</t>
        </is>
      </c>
      <c r="M1" s="1" t="inlineStr">
        <is>
          <t>Qty Needed</t>
        </is>
      </c>
      <c r="N1" s="1" t="inlineStr">
        <is>
          <t>Suggested Cart Qty</t>
        </is>
      </c>
      <c r="O1" s="1" t="inlineStr">
        <is>
          <t>Unit Price</t>
        </is>
      </c>
      <c r="P1" s="1" t="inlineStr">
        <is>
          <t>Suggested Cart Total</t>
        </is>
      </c>
      <c r="Q1" s="1" t="inlineStr">
        <is>
          <t>Notes</t>
        </is>
      </c>
    </row>
    <row r="2">
      <c r="A2" s="2" t="inlineStr">
        <is>
          <t>C1,C4,C6,C8,C12,C13,C14,C15,C29,C30,C31,C32,C33</t>
        </is>
      </c>
      <c r="B2" s="2" t="inlineStr">
        <is>
          <t>100nF</t>
        </is>
      </c>
      <c r="C2" s="2" t="inlineStr">
        <is>
          <t>Capacitor_SMD:C_0402_1005Metric</t>
        </is>
      </c>
      <c r="D2" s="2" t="inlineStr">
        <is>
          <t>C307331</t>
        </is>
      </c>
      <c r="E2" s="2" t="inlineStr">
        <is>
          <t>Samsung Electro-Mechanics</t>
        </is>
      </c>
      <c r="F2" s="2" t="inlineStr">
        <is>
          <t>CL05B104KB54PNC</t>
        </is>
      </c>
      <c r="G2" s="2" t="inlineStr">
        <is>
          <t>100nF 50V X7R ±10% 0402 Multilayer Ceramic Capacitors MLCC - SMD/SMT ROHS</t>
        </is>
      </c>
      <c r="H2" s="2" t="inlineStr">
        <is>
          <t>0402</t>
        </is>
      </c>
      <c r="I2" s="2" t="inlineStr">
        <is>
          <t>Basic</t>
        </is>
      </c>
      <c r="J2" s="2" t="inlineStr">
        <is>
          <t>8292186</t>
        </is>
      </c>
      <c r="K2" s="2" t="inlineStr">
        <is>
          <t>1</t>
        </is>
      </c>
      <c r="L2" s="2" t="inlineStr">
        <is>
          <t>10000</t>
        </is>
      </c>
      <c r="M2" s="2" t="inlineStr">
        <is>
          <t>13</t>
        </is>
      </c>
      <c r="N2" s="2" t="inlineStr">
        <is>
          <t>13</t>
        </is>
      </c>
      <c r="O2" s="2" t="inlineStr">
        <is>
          <t>0.0076</t>
        </is>
      </c>
      <c r="P2" s="2" t="inlineStr">
        <is>
          <t>0.0988</t>
        </is>
      </c>
      <c r="Q2" s="2" t="inlineStr">
        <is>
          <t>100 nF 0402 X7R 50 V; chosen over 16 V parts for rail-margin safety.</t>
        </is>
      </c>
    </row>
    <row r="3">
      <c r="A3" s="2" t="inlineStr">
        <is>
          <t>C2,C3,C5,C11,C24</t>
        </is>
      </c>
      <c r="B3" s="2" t="inlineStr">
        <is>
          <t>1uF</t>
        </is>
      </c>
      <c r="C3" s="2" t="inlineStr">
        <is>
          <t>Capacitor_SMD:C_0402_1005Metric</t>
        </is>
      </c>
      <c r="D3" s="2" t="inlineStr">
        <is>
          <t>C52923</t>
        </is>
      </c>
      <c r="E3" s="2" t="inlineStr">
        <is>
          <t>Samsung Electro-Mechanics</t>
        </is>
      </c>
      <c r="F3" s="2" t="inlineStr">
        <is>
          <t>CL05A105KA5NQNC</t>
        </is>
      </c>
      <c r="G3" s="2" t="inlineStr">
        <is>
          <t>1uF 25V X5R ±10% 0402 Multilayer Ceramic Capacitors MLCC - SMD/SMT ROHS</t>
        </is>
      </c>
      <c r="H3" s="2" t="inlineStr">
        <is>
          <t>0402</t>
        </is>
      </c>
      <c r="I3" s="2" t="inlineStr">
        <is>
          <t>Basic</t>
        </is>
      </c>
      <c r="J3" s="2" t="inlineStr">
        <is>
          <t>3769485</t>
        </is>
      </c>
      <c r="K3" s="2" t="inlineStr">
        <is>
          <t>1</t>
        </is>
      </c>
      <c r="L3" s="2" t="inlineStr">
        <is>
          <t>10000</t>
        </is>
      </c>
      <c r="M3" s="2" t="inlineStr">
        <is>
          <t>5</t>
        </is>
      </c>
      <c r="N3" s="2" t="inlineStr">
        <is>
          <t>5</t>
        </is>
      </c>
      <c r="O3" s="2" t="inlineStr">
        <is>
          <t>0.0142</t>
        </is>
      </c>
      <c r="P3" s="2" t="inlineStr">
        <is>
          <t>0.0710</t>
        </is>
      </c>
      <c r="Q3" s="2" t="inlineStr">
        <is>
          <t>1 uF 0402 X5R 25 V.</t>
        </is>
      </c>
    </row>
    <row r="4">
      <c r="A4" s="2" t="inlineStr">
        <is>
          <t>C7,C16,C18,C20,C21,C22,C23</t>
        </is>
      </c>
      <c r="B4" s="2" t="inlineStr">
        <is>
          <t>10uF</t>
        </is>
      </c>
      <c r="C4" s="2" t="inlineStr">
        <is>
          <t>Capacitor_SMD:C_0805_2012Metric</t>
        </is>
      </c>
      <c r="D4" s="2" t="inlineStr">
        <is>
          <t>C15850</t>
        </is>
      </c>
      <c r="E4" s="2" t="inlineStr">
        <is>
          <t>Samsung Electro-Mechanics</t>
        </is>
      </c>
      <c r="F4" s="2" t="inlineStr">
        <is>
          <t>CL21A106KAYNNNE</t>
        </is>
      </c>
      <c r="G4" s="2" t="inlineStr">
        <is>
          <t>10uF 25V X5R ±10% 0805 Multilayer Ceramic Capacitors MLCC - SMD/SMT ROHS</t>
        </is>
      </c>
      <c r="H4" s="2" t="inlineStr">
        <is>
          <t>0805</t>
        </is>
      </c>
      <c r="I4" s="2" t="inlineStr">
        <is>
          <t>Basic</t>
        </is>
      </c>
      <c r="J4" s="2" t="inlineStr">
        <is>
          <t>3342932</t>
        </is>
      </c>
      <c r="K4" s="2" t="inlineStr">
        <is>
          <t>1</t>
        </is>
      </c>
      <c r="L4" s="2" t="inlineStr">
        <is>
          <t>2000</t>
        </is>
      </c>
      <c r="M4" s="2" t="inlineStr">
        <is>
          <t>7</t>
        </is>
      </c>
      <c r="N4" s="2" t="inlineStr">
        <is>
          <t>7</t>
        </is>
      </c>
      <c r="O4" s="2" t="inlineStr">
        <is>
          <t>0.0643</t>
        </is>
      </c>
      <c r="P4" s="2" t="inlineStr">
        <is>
          <t>0.4501</t>
        </is>
      </c>
      <c r="Q4" s="2" t="inlineStr">
        <is>
          <t>10 uF 0805 X5R 25 V.</t>
        </is>
      </c>
    </row>
    <row r="5">
      <c r="A5" s="2" t="inlineStr">
        <is>
          <t>C17,C19</t>
        </is>
      </c>
      <c r="B5" s="2" t="inlineStr">
        <is>
          <t>22u 25V</t>
        </is>
      </c>
      <c r="C5" s="2" t="inlineStr">
        <is>
          <t>Capacitor_SMD:C_1210_3225Metric</t>
        </is>
      </c>
      <c r="D5" s="2" t="inlineStr">
        <is>
          <t>C52306</t>
        </is>
      </c>
      <c r="E5" s="2" t="inlineStr">
        <is>
          <t>Samsung Electro-Mechanics</t>
        </is>
      </c>
      <c r="F5" s="2" t="inlineStr">
        <is>
          <t>CL32A226KAJNNNE</t>
        </is>
      </c>
      <c r="G5" s="2" t="inlineStr">
        <is>
          <t>22uF 25V X5R ±10% 1210 Multilayer Ceramic Capacitors MLCC - SMD/SMT ROHS</t>
        </is>
      </c>
      <c r="H5" s="2" t="inlineStr">
        <is>
          <t>1210</t>
        </is>
      </c>
      <c r="I5" s="2" t="inlineStr">
        <is>
          <t>Extended</t>
        </is>
      </c>
      <c r="J5" s="2" t="inlineStr">
        <is>
          <t>204667</t>
        </is>
      </c>
      <c r="K5" s="2" t="inlineStr">
        <is>
          <t>1</t>
        </is>
      </c>
      <c r="L5" s="2" t="inlineStr">
        <is>
          <t>1000</t>
        </is>
      </c>
      <c r="M5" s="2" t="inlineStr">
        <is>
          <t>2</t>
        </is>
      </c>
      <c r="N5" s="2" t="inlineStr">
        <is>
          <t>2</t>
        </is>
      </c>
      <c r="O5" s="2" t="inlineStr">
        <is>
          <t>0.1814</t>
        </is>
      </c>
      <c r="P5" s="2" t="inlineStr">
        <is>
          <t>0.3628</t>
        </is>
      </c>
      <c r="Q5" s="2" t="inlineStr">
        <is>
          <t>22 uF 1210 X5R 25 V.</t>
        </is>
      </c>
    </row>
    <row r="6">
      <c r="A6" s="2" t="inlineStr">
        <is>
          <t>C25</t>
        </is>
      </c>
      <c r="B6" s="2" t="inlineStr">
        <is>
          <t>0.6pF</t>
        </is>
      </c>
      <c r="C6" s="2" t="inlineStr">
        <is>
          <t>Capacitor_SMD:C_0402_1005Metric</t>
        </is>
      </c>
      <c r="D6" s="2" t="inlineStr">
        <is>
          <t>C778333</t>
        </is>
      </c>
      <c r="E6" s="2" t="inlineStr">
        <is>
          <t>EYANG(Shenzhen Eyang Tech Development)</t>
        </is>
      </c>
      <c r="F6" s="2" t="inlineStr">
        <is>
          <t>C0402C0G0R6B500NTB</t>
        </is>
      </c>
      <c r="G6" s="2" t="inlineStr">
        <is>
          <t>0.6pF 50V C0G 0402 Multilayer Ceramic Capacitors MLCC - SMD/SMT ROHS</t>
        </is>
      </c>
      <c r="H6" s="2" t="inlineStr">
        <is>
          <t>0402</t>
        </is>
      </c>
      <c r="I6" s="2" t="inlineStr">
        <is>
          <t>Extended</t>
        </is>
      </c>
      <c r="J6" s="2" t="inlineStr">
        <is>
          <t>250</t>
        </is>
      </c>
      <c r="K6" s="2" t="inlineStr">
        <is>
          <t>1</t>
        </is>
      </c>
      <c r="L6" s="2" t="inlineStr">
        <is>
          <t>10000</t>
        </is>
      </c>
      <c r="M6" s="2" t="inlineStr">
        <is>
          <t>1</t>
        </is>
      </c>
      <c r="N6" s="2" t="inlineStr">
        <is>
          <t>1</t>
        </is>
      </c>
      <c r="O6" s="2" t="inlineStr">
        <is>
          <t>0.0029</t>
        </is>
      </c>
      <c r="P6" s="2" t="inlineStr">
        <is>
          <t>0.0029</t>
        </is>
      </c>
      <c r="Q6" s="2" t="inlineStr">
        <is>
          <t>RF antenna matching capacitor. Original schematic said 0.5uF, but this is the nRF52840 antenna match; using stocked 0.6pF 0402 C0G.</t>
        </is>
      </c>
    </row>
    <row r="7">
      <c r="A7" s="2" t="inlineStr">
        <is>
          <t>C26</t>
        </is>
      </c>
      <c r="B7" s="2" t="inlineStr">
        <is>
          <t>0.8pF</t>
        </is>
      </c>
      <c r="C7" s="2" t="inlineStr">
        <is>
          <t>Capacitor_SMD:C_0402_1005Metric</t>
        </is>
      </c>
      <c r="D7" s="2" t="inlineStr">
        <is>
          <t>C3875120</t>
        </is>
      </c>
      <c r="E7" s="2" t="inlineStr">
        <is>
          <t>Venkel</t>
        </is>
      </c>
      <c r="F7" s="2" t="inlineStr">
        <is>
          <t>C0402C0G500-0R8BNP</t>
        </is>
      </c>
      <c r="G7" s="2" t="inlineStr">
        <is>
          <t>0.8pF 50V C0G 0402 Multilayer Ceramic Capacitors MLCC - SMD/SMT ROHS</t>
        </is>
      </c>
      <c r="H7" s="2" t="inlineStr">
        <is>
          <t>0402</t>
        </is>
      </c>
      <c r="I7" s="2" t="inlineStr">
        <is>
          <t>Extended</t>
        </is>
      </c>
      <c r="J7" s="2" t="inlineStr">
        <is>
          <t>9750</t>
        </is>
      </c>
      <c r="K7" s="2" t="inlineStr">
        <is>
          <t>1</t>
        </is>
      </c>
      <c r="L7" s="2" t="inlineStr">
        <is>
          <t>10000</t>
        </is>
      </c>
      <c r="M7" s="2" t="inlineStr">
        <is>
          <t>1</t>
        </is>
      </c>
      <c r="N7" s="2" t="inlineStr">
        <is>
          <t>1</t>
        </is>
      </c>
      <c r="O7" s="2" t="inlineStr">
        <is>
          <t>0.0105</t>
        </is>
      </c>
      <c r="P7" s="2" t="inlineStr">
        <is>
          <t>0.0105</t>
        </is>
      </c>
      <c r="Q7" s="2" t="inlineStr">
        <is>
          <t>RF antenna matching capacitor. Original schematic said 0.8uF, but this is the nRF52840 antenna match; using 0.8pF 0402 C0G.</t>
        </is>
      </c>
    </row>
    <row r="8">
      <c r="A8" s="2" t="inlineStr">
        <is>
          <t>C27,C35</t>
        </is>
      </c>
      <c r="B8" s="2" t="inlineStr">
        <is>
          <t>12pF</t>
        </is>
      </c>
      <c r="C8" s="2" t="inlineStr">
        <is>
          <t>Capacitor_SMD:C_0402_1005Metric</t>
        </is>
      </c>
      <c r="D8" s="2" t="inlineStr">
        <is>
          <t>C1547</t>
        </is>
      </c>
      <c r="E8" s="2" t="inlineStr">
        <is>
          <t>FH (Guangdong Fenghua Advanced Tech)</t>
        </is>
      </c>
      <c r="F8" s="2" t="inlineStr">
        <is>
          <t>0402CG120J500NT</t>
        </is>
      </c>
      <c r="G8" s="2" t="inlineStr">
        <is>
          <t>12pF 50V C0G ±5% 0402 Multilayer Ceramic Capacitors MLCC - SMD/SMT ROHS</t>
        </is>
      </c>
      <c r="H8" s="2" t="inlineStr">
        <is>
          <t>0402</t>
        </is>
      </c>
      <c r="I8" s="2" t="inlineStr">
        <is>
          <t>Basic</t>
        </is>
      </c>
      <c r="J8" s="2" t="inlineStr">
        <is>
          <t>1099242</t>
        </is>
      </c>
      <c r="K8" s="2" t="inlineStr">
        <is>
          <t>1</t>
        </is>
      </c>
      <c r="L8" s="2" t="inlineStr">
        <is>
          <t>10000</t>
        </is>
      </c>
      <c r="M8" s="2" t="inlineStr">
        <is>
          <t>2</t>
        </is>
      </c>
      <c r="N8" s="2" t="inlineStr">
        <is>
          <t>2</t>
        </is>
      </c>
      <c r="O8" s="2" t="inlineStr">
        <is>
          <t>0.0036</t>
        </is>
      </c>
      <c r="P8" s="2" t="inlineStr">
        <is>
          <t>0.0072</t>
        </is>
      </c>
      <c r="Q8" s="2" t="inlineStr">
        <is>
          <t>12 pF 0402 C0G/NP0 50 V.</t>
        </is>
      </c>
    </row>
    <row r="9">
      <c r="A9" s="2" t="inlineStr">
        <is>
          <t>CN1</t>
        </is>
      </c>
      <c r="B9" s="2" t="inlineStr">
        <is>
          <t>B2B-PH-SM4-TB</t>
        </is>
      </c>
      <c r="C9" s="2" t="inlineStr">
        <is>
          <t>easyeda2kicad:CONN-SMD_B2B-PH-SM4-TB-LF-SN</t>
        </is>
      </c>
      <c r="D9" s="2" t="inlineStr">
        <is>
          <t>C160352</t>
        </is>
      </c>
      <c r="E9" s="2" t="inlineStr">
        <is>
          <t>JST</t>
        </is>
      </c>
      <c r="F9" s="2" t="inlineStr">
        <is>
          <t>B2B-PH-SM4-TB(LF)(SN)</t>
        </is>
      </c>
      <c r="G9" s="2" t="inlineStr">
        <is>
          <t>-25℃~+85℃ 1 100V 1x2P 2 2A 2P 2mm 6.6mm 7.95mm 7mm Auxiliary Solder Pin Beige Copper alloy PA PH Surface Mount,Vertical Tin UL94V-0 SMD,P=2mm Wire To Board Connector ROHS</t>
        </is>
      </c>
      <c r="H9" s="2" t="inlineStr">
        <is>
          <t>SMD,P=2mm</t>
        </is>
      </c>
      <c r="I9" s="2" t="inlineStr">
        <is>
          <t>Extended</t>
        </is>
      </c>
      <c r="J9" s="2" t="inlineStr">
        <is>
          <t>1007</t>
        </is>
      </c>
      <c r="K9" s="2" t="inlineStr">
        <is>
          <t>1</t>
        </is>
      </c>
      <c r="L9" s="2" t="inlineStr">
        <is>
          <t>1000</t>
        </is>
      </c>
      <c r="M9" s="2" t="inlineStr">
        <is>
          <t>1</t>
        </is>
      </c>
      <c r="N9" s="2" t="inlineStr">
        <is>
          <t>1</t>
        </is>
      </c>
      <c r="O9" s="2" t="inlineStr">
        <is>
          <t>0.3586</t>
        </is>
      </c>
      <c r="P9" s="2" t="inlineStr">
        <is>
          <t>0.3586</t>
        </is>
      </c>
      <c r="Q9" s="2" t="inlineStr">
        <is>
          <t>SMD JST PH 2-pin battery connector replacing through-hole B2B-PH-K-S.</t>
        </is>
      </c>
    </row>
    <row r="10">
      <c r="A10" s="2" t="inlineStr">
        <is>
          <t>D1,D6,D7,D8,D9,D10,D11,D12</t>
        </is>
      </c>
      <c r="B10" s="2" t="inlineStr">
        <is>
          <t>LED</t>
        </is>
      </c>
      <c r="C10" s="2" t="inlineStr">
        <is>
          <t>easyeda2kicad:LED-SMD_L3.0-W3.0_XL-3030UWC-1W-3V</t>
        </is>
      </c>
      <c r="D10" s="2" t="inlineStr">
        <is>
          <t>C2843891</t>
        </is>
      </c>
      <c r="E10" s="2" t="inlineStr">
        <is>
          <t>XINGLIGHT</t>
        </is>
      </c>
      <c r="F10" s="2" t="inlineStr">
        <is>
          <t>XL-3030UWC-1W-3V</t>
        </is>
      </c>
      <c r="G10" s="2" t="inlineStr">
        <is>
          <t>-40℃~+85℃ 120° 1W 3.4V 350mA 6500K~7000K Discrete Diode Top-mount White Yellow Lens SMD3030-2P LED Indication - Discrete ROHS</t>
        </is>
      </c>
      <c r="H10" s="2" t="inlineStr">
        <is>
          <t>SMD3030-2P</t>
        </is>
      </c>
      <c r="I10" s="2" t="inlineStr">
        <is>
          <t>Extended</t>
        </is>
      </c>
      <c r="J10" s="2" t="inlineStr">
        <is>
          <t>167844</t>
        </is>
      </c>
      <c r="K10" s="2" t="inlineStr">
        <is>
          <t>1</t>
        </is>
      </c>
      <c r="L10" s="2" t="inlineStr">
        <is>
          <t>5000</t>
        </is>
      </c>
      <c r="M10" s="2" t="inlineStr">
        <is>
          <t>8</t>
        </is>
      </c>
      <c r="N10" s="2" t="inlineStr">
        <is>
          <t>8</t>
        </is>
      </c>
      <c r="O10" s="2" t="inlineStr">
        <is>
          <t>0.042</t>
        </is>
      </c>
      <c r="P10" s="2" t="inlineStr">
        <is>
          <t>0.336</t>
        </is>
      </c>
      <c r="Q10" s="2" t="inlineStr">
        <is>
          <t>White 3030 LED; verify current/thermal target.</t>
        </is>
      </c>
    </row>
    <row r="11">
      <c r="A11" s="2" t="inlineStr">
        <is>
          <t>D3</t>
        </is>
      </c>
      <c r="B11" s="2" t="inlineStr">
        <is>
          <t>SP3012-04UTG</t>
        </is>
      </c>
      <c r="C11" s="2" t="inlineStr">
        <is>
          <t>easyeda2kicad:UDFN-10_L2.5-W1.0-P0.50-BL</t>
        </is>
      </c>
      <c r="D11" s="2" t="inlineStr">
        <is>
          <t>C151304</t>
        </is>
      </c>
      <c r="E11" s="2" t="inlineStr">
        <is>
          <t>Littelfuse</t>
        </is>
      </c>
      <c r="F11" s="2" t="inlineStr">
        <is>
          <t>SP3012-04UTG</t>
        </is>
      </c>
      <c r="G11" s="2" t="inlineStr">
        <is>
          <t>-40℃~+125℃ 0.5pF 1.5uA 4A@8/20us 5V 8.4V ESD Four channels IEC 61000-4-2、IEC 61000-4-5、IEC 61000-4-4 UDFN-10(1x2.5) ESD and Surge Protection (TVS/ESD) ROHS</t>
        </is>
      </c>
      <c r="H11" s="2" t="inlineStr">
        <is>
          <t>UDFN-10(1x2.5)</t>
        </is>
      </c>
      <c r="I11" s="2" t="inlineStr">
        <is>
          <t>Extended</t>
        </is>
      </c>
      <c r="J11" s="2" t="inlineStr">
        <is>
          <t>5164</t>
        </is>
      </c>
      <c r="K11" s="2" t="inlineStr">
        <is>
          <t>1</t>
        </is>
      </c>
      <c r="L11" s="2" t="inlineStr">
        <is>
          <t>3000</t>
        </is>
      </c>
      <c r="M11" s="2" t="inlineStr">
        <is>
          <t>1</t>
        </is>
      </c>
      <c r="N11" s="2" t="inlineStr">
        <is>
          <t>1</t>
        </is>
      </c>
      <c r="O11" s="2" t="inlineStr">
        <is>
          <t>0.2974</t>
        </is>
      </c>
      <c r="P11" s="2" t="inlineStr">
        <is>
          <t>0.2974</t>
        </is>
      </c>
      <c r="Q11" s="2" t="inlineStr"/>
    </row>
    <row r="12">
      <c r="A12" s="2" t="inlineStr">
        <is>
          <t>D5</t>
        </is>
      </c>
      <c r="B12" s="2" t="inlineStr">
        <is>
          <t>PRTR5V0U2X</t>
        </is>
      </c>
      <c r="C12" s="2" t="inlineStr">
        <is>
          <t>Package_TO_SOT_SMD:SOT-143</t>
        </is>
      </c>
      <c r="D12" s="2" t="inlineStr">
        <is>
          <t>C2827688</t>
        </is>
      </c>
      <c r="E12" s="2" t="inlineStr">
        <is>
          <t>TECH PUBLIC</t>
        </is>
      </c>
      <c r="F12" s="2" t="inlineStr">
        <is>
          <t>PRTR5V0U2X</t>
        </is>
      </c>
      <c r="G12" s="2" t="inlineStr">
        <is>
          <t>-55℃~+125℃ 0.3pF、0.8pF 100W 10V、15V 5V 6.5V 6A 80nA ESD IEC 61000-4-2、IEC 61000-4-5、IEC 61000-4-4 Three channels Unidirectional SOT-143 ESD and Surge Protection (TVS/ESD) ROHS</t>
        </is>
      </c>
      <c r="H12" s="2" t="inlineStr">
        <is>
          <t>SOT-143</t>
        </is>
      </c>
      <c r="I12" s="2" t="inlineStr">
        <is>
          <t>Extended</t>
        </is>
      </c>
      <c r="J12" s="2" t="inlineStr">
        <is>
          <t>60355</t>
        </is>
      </c>
      <c r="K12" s="2" t="inlineStr">
        <is>
          <t>1</t>
        </is>
      </c>
      <c r="L12" s="2" t="inlineStr">
        <is>
          <t>3000</t>
        </is>
      </c>
      <c r="M12" s="2" t="inlineStr">
        <is>
          <t>1</t>
        </is>
      </c>
      <c r="N12" s="2" t="inlineStr">
        <is>
          <t>1</t>
        </is>
      </c>
      <c r="O12" s="2" t="inlineStr">
        <is>
          <t>0.0609</t>
        </is>
      </c>
      <c r="P12" s="2" t="inlineStr">
        <is>
          <t>0.0609</t>
        </is>
      </c>
      <c r="Q12" s="2" t="inlineStr">
        <is>
          <t>PRTR5V0U2X USB ESD.</t>
        </is>
      </c>
    </row>
    <row r="13">
      <c r="A13" s="2" t="inlineStr">
        <is>
          <t>D13,D14,D15</t>
        </is>
      </c>
      <c r="B13" s="2" t="inlineStr">
        <is>
          <t>SS34_C8678</t>
        </is>
      </c>
      <c r="C13" s="2" t="inlineStr">
        <is>
          <t>easyeda2kicad:SMA_L4.3-W2.6-LS5.2-RD</t>
        </is>
      </c>
      <c r="D13" s="2" t="inlineStr">
        <is>
          <t>C8678</t>
        </is>
      </c>
      <c r="E13" s="2" t="inlineStr">
        <is>
          <t>MDD(Microdiode Semiconductor)</t>
        </is>
      </c>
      <c r="F13" s="2" t="inlineStr">
        <is>
          <t>SS34</t>
        </is>
      </c>
      <c r="G13" s="2" t="inlineStr">
        <is>
          <t>-55℃~+125℃ 3A 40V 500uA@40V 550mV@3A Independent SMA(DO-214AC) Schottky Diodes ROHS</t>
        </is>
      </c>
      <c r="H13" s="2" t="inlineStr">
        <is>
          <t>SMA(DO-214AC)</t>
        </is>
      </c>
      <c r="I13" s="2" t="inlineStr">
        <is>
          <t>Basic</t>
        </is>
      </c>
      <c r="J13" s="2" t="inlineStr">
        <is>
          <t>3741060</t>
        </is>
      </c>
      <c r="K13" s="2" t="inlineStr">
        <is>
          <t>1</t>
        </is>
      </c>
      <c r="L13" s="2" t="inlineStr">
        <is>
          <t>5000</t>
        </is>
      </c>
      <c r="M13" s="2" t="inlineStr">
        <is>
          <t>3</t>
        </is>
      </c>
      <c r="N13" s="2" t="inlineStr">
        <is>
          <t>3</t>
        </is>
      </c>
      <c r="O13" s="2" t="inlineStr">
        <is>
          <t>0.0301</t>
        </is>
      </c>
      <c r="P13" s="2" t="inlineStr">
        <is>
          <t>0.0903</t>
        </is>
      </c>
      <c r="Q13" s="2" t="inlineStr"/>
    </row>
    <row r="14">
      <c r="A14" s="2" t="inlineStr">
        <is>
          <t>J1</t>
        </is>
      </c>
      <c r="B14" s="2" t="inlineStr">
        <is>
          <t>XH-2P-SMD</t>
        </is>
      </c>
      <c r="C14" s="2" t="inlineStr">
        <is>
          <t>easyeda2kicad:CONN-SMD_2P-P2.54_XH2.54-2AB</t>
        </is>
      </c>
      <c r="D14" s="2" t="inlineStr">
        <is>
          <t>C146125</t>
        </is>
      </c>
      <c r="E14" s="2" t="inlineStr">
        <is>
          <t>BOOMELE(Boom Precision Elec)</t>
        </is>
      </c>
      <c r="F14" s="2" t="inlineStr">
        <is>
          <t>XH-2PVertical welding</t>
        </is>
      </c>
      <c r="G14" s="2" t="inlineStr">
        <is>
          <t>-25℃~+85℃ 1 12mm 1x2P 2 2.5mm 250V 2P 3A 6mm 7.8mm Beige LCP Phosphor bronze Surface Mount,Vertical Tin UL94V-0 XH SMD,P=2.5mm Wire To Board Connector ROHS</t>
        </is>
      </c>
      <c r="H14" s="2" t="inlineStr">
        <is>
          <t>SMD,P=2.5mm</t>
        </is>
      </c>
      <c r="I14" s="2" t="inlineStr">
        <is>
          <t>Extended</t>
        </is>
      </c>
      <c r="J14" s="2" t="inlineStr">
        <is>
          <t>11017</t>
        </is>
      </c>
      <c r="K14" s="2" t="inlineStr">
        <is>
          <t>1</t>
        </is>
      </c>
      <c r="L14" s="2" t="inlineStr">
        <is>
          <t>57</t>
        </is>
      </c>
      <c r="M14" s="2" t="inlineStr">
        <is>
          <t>1</t>
        </is>
      </c>
      <c r="N14" s="2" t="inlineStr">
        <is>
          <t>1</t>
        </is>
      </c>
      <c r="O14" s="2" t="inlineStr">
        <is>
          <t>0.0669</t>
        </is>
      </c>
      <c r="P14" s="2" t="inlineStr">
        <is>
          <t>0.0669</t>
        </is>
      </c>
      <c r="Q14" s="2" t="inlineStr">
        <is>
          <t>SMD 2-pin XH-style connector for +12 V siren/load output; intentionally different from battery PH connector.</t>
        </is>
      </c>
    </row>
    <row r="15">
      <c r="A15" s="2" t="inlineStr">
        <is>
          <t>J2</t>
        </is>
      </c>
      <c r="B15" s="2" t="inlineStr">
        <is>
          <t>2.54-3P-LT</t>
        </is>
      </c>
      <c r="C15" s="2" t="inlineStr">
        <is>
          <t>easyeda2kicad:CONN-SMD_2.54-3P-LT</t>
        </is>
      </c>
      <c r="D15" s="2" t="inlineStr">
        <is>
          <t>C2681544</t>
        </is>
      </c>
      <c r="E15" s="2" t="inlineStr">
        <is>
          <t>SHOU HAN</t>
        </is>
      </c>
      <c r="F15" s="2" t="inlineStr">
        <is>
          <t>2.54-3P LT</t>
        </is>
      </c>
      <c r="G15" s="2" t="inlineStr">
        <is>
          <t>-25℃~+85℃ 1 1x3P 2.5mm 250V 3 3A 3P Beige Brass LCP Surface Mount,Vertical Tin UL94V-0 XH SMD,P=2.5mm Wire To Board Connector ROHS</t>
        </is>
      </c>
      <c r="H15" s="2" t="inlineStr">
        <is>
          <t>SMD,P=2.5mm</t>
        </is>
      </c>
      <c r="I15" s="2" t="inlineStr">
        <is>
          <t>Extended</t>
        </is>
      </c>
      <c r="J15" s="2" t="inlineStr">
        <is>
          <t>1331</t>
        </is>
      </c>
      <c r="K15" s="2" t="inlineStr">
        <is>
          <t>1</t>
        </is>
      </c>
      <c r="L15" s="2" t="inlineStr">
        <is>
          <t>500</t>
        </is>
      </c>
      <c r="M15" s="2" t="inlineStr">
        <is>
          <t>1</t>
        </is>
      </c>
      <c r="N15" s="2" t="inlineStr">
        <is>
          <t>1</t>
        </is>
      </c>
      <c r="O15" s="2" t="inlineStr">
        <is>
          <t>0.0814</t>
        </is>
      </c>
      <c r="P15" s="2" t="inlineStr">
        <is>
          <t>0.0814</t>
        </is>
      </c>
      <c r="Q15" s="2" t="inlineStr">
        <is>
          <t>SMD 3-pin 2.54 mm connector selected for the trimmer/control path.</t>
        </is>
      </c>
    </row>
    <row r="16">
      <c r="A16" s="2" t="inlineStr">
        <is>
          <t>J3</t>
        </is>
      </c>
      <c r="B16" s="2" t="inlineStr">
        <is>
          <t>SIM_Card</t>
        </is>
      </c>
      <c r="C16" s="2" t="inlineStr">
        <is>
          <t>easyeda2kicad:SIM-SMD_SMN-303</t>
        </is>
      </c>
      <c r="D16" s="2" t="inlineStr">
        <is>
          <t>C266888</t>
        </is>
      </c>
      <c r="E16" s="2" t="inlineStr">
        <is>
          <t>XUNPU</t>
        </is>
      </c>
      <c r="F16" s="2" t="inlineStr">
        <is>
          <t>SMN-303</t>
        </is>
      </c>
      <c r="G16" s="2" t="inlineStr">
        <is>
          <t>-25℃~+85℃ 1.37mm Connector and Ejector Nano-SIM Card Push-Push With Card Detect SMD SIM Card Connectors ROHS</t>
        </is>
      </c>
      <c r="H16" s="2" t="inlineStr">
        <is>
          <t>SMD</t>
        </is>
      </c>
      <c r="I16" s="2" t="inlineStr">
        <is>
          <t>Extended</t>
        </is>
      </c>
      <c r="J16" s="2" t="inlineStr">
        <is>
          <t>119097</t>
        </is>
      </c>
      <c r="K16" s="2" t="inlineStr">
        <is>
          <t>1</t>
        </is>
      </c>
      <c r="L16" s="2" t="inlineStr">
        <is>
          <t>1500</t>
        </is>
      </c>
      <c r="M16" s="2" t="inlineStr">
        <is>
          <t>1</t>
        </is>
      </c>
      <c r="N16" s="2" t="inlineStr">
        <is>
          <t>1</t>
        </is>
      </c>
      <c r="O16" s="2" t="inlineStr">
        <is>
          <t>0.4894</t>
        </is>
      </c>
      <c r="P16" s="2" t="inlineStr">
        <is>
          <t>0.4894</t>
        </is>
      </c>
      <c r="Q16" s="2" t="inlineStr">
        <is>
          <t>SIM card connector SMN-303.</t>
        </is>
      </c>
    </row>
    <row r="17">
      <c r="A17" s="2" t="inlineStr">
        <is>
          <t>L2,L3</t>
        </is>
      </c>
      <c r="B17" s="2" t="inlineStr">
        <is>
          <t>10uH</t>
        </is>
      </c>
      <c r="C17" s="2" t="inlineStr">
        <is>
          <t>easyeda2kicad:IND-SMD_L4.0-W4.0</t>
        </is>
      </c>
      <c r="D17" s="2" t="inlineStr">
        <is>
          <t>C2849472</t>
        </is>
      </c>
      <c r="E17" s="2" t="inlineStr">
        <is>
          <t>DMBJ</t>
        </is>
      </c>
      <c r="F17" s="2" t="inlineStr">
        <is>
          <t>PNLS4030-100M 10UH</t>
        </is>
      </c>
      <c r="G17" s="2" t="inlineStr">
        <is>
          <t>10uH 120mΩ 2A 2A Magnetic Shielded Inductor ±20% SMD,4x4mm Power Inductors ROHS</t>
        </is>
      </c>
      <c r="H17" s="2" t="inlineStr">
        <is>
          <t>SMD,4x4mm</t>
        </is>
      </c>
      <c r="I17" s="2" t="inlineStr">
        <is>
          <t>Extended</t>
        </is>
      </c>
      <c r="J17" s="2" t="inlineStr">
        <is>
          <t>10402</t>
        </is>
      </c>
      <c r="K17" s="2" t="inlineStr">
        <is>
          <t>1</t>
        </is>
      </c>
      <c r="L17" s="2" t="inlineStr">
        <is>
          <t>2000</t>
        </is>
      </c>
      <c r="M17" s="2" t="inlineStr">
        <is>
          <t>2</t>
        </is>
      </c>
      <c r="N17" s="2" t="inlineStr">
        <is>
          <t>2</t>
        </is>
      </c>
      <c r="O17" s="2" t="inlineStr">
        <is>
          <t>0.0521</t>
        </is>
      </c>
      <c r="P17" s="2" t="inlineStr">
        <is>
          <t>0.1042</t>
        </is>
      </c>
      <c r="Q17" s="2" t="inlineStr">
        <is>
          <t>10 uH shielded power inductor, 4x4 mm class.</t>
        </is>
      </c>
    </row>
    <row r="18">
      <c r="A18" s="2" t="inlineStr">
        <is>
          <t>L4,L5</t>
        </is>
      </c>
      <c r="B18" s="2" t="inlineStr">
        <is>
          <t>2.2uH</t>
        </is>
      </c>
      <c r="C18" s="2" t="inlineStr">
        <is>
          <t>easyeda2kicad:IND-SMD_L4.0-W4.0_NRS4018T</t>
        </is>
      </c>
      <c r="D18" s="2" t="inlineStr">
        <is>
          <t>C92959</t>
        </is>
      </c>
      <c r="E18" s="2" t="inlineStr">
        <is>
          <t>Taiyo Yuden</t>
        </is>
      </c>
      <c r="F18" s="2" t="inlineStr">
        <is>
          <t>NRS4018T2R2MDGJ</t>
        </is>
      </c>
      <c r="G18" s="2" t="inlineStr">
        <is>
          <t>2.2A 2.2uH 3A 42mΩ ±20% SMD,4x4mm Power Inductors ROHS</t>
        </is>
      </c>
      <c r="H18" s="2" t="inlineStr">
        <is>
          <t>SMD,4x4mm</t>
        </is>
      </c>
      <c r="I18" s="2" t="inlineStr">
        <is>
          <t>Extended</t>
        </is>
      </c>
      <c r="J18" s="2" t="inlineStr">
        <is>
          <t>12164</t>
        </is>
      </c>
      <c r="K18" s="2" t="inlineStr">
        <is>
          <t>1</t>
        </is>
      </c>
      <c r="L18" s="2" t="inlineStr">
        <is>
          <t>3500</t>
        </is>
      </c>
      <c r="M18" s="2" t="inlineStr">
        <is>
          <t>2</t>
        </is>
      </c>
      <c r="N18" s="2" t="inlineStr">
        <is>
          <t>2</t>
        </is>
      </c>
      <c r="O18" s="2" t="inlineStr">
        <is>
          <t>0.0886</t>
        </is>
      </c>
      <c r="P18" s="2" t="inlineStr">
        <is>
          <t>0.1772</t>
        </is>
      </c>
      <c r="Q18" s="2" t="inlineStr">
        <is>
          <t>2.2 uH shielded power inductor, 4x4 mm class.</t>
        </is>
      </c>
    </row>
    <row r="19">
      <c r="A19" s="2" t="inlineStr">
        <is>
          <t>L6</t>
        </is>
      </c>
      <c r="B19" s="2" t="inlineStr">
        <is>
          <t>4.7nH</t>
        </is>
      </c>
      <c r="C19" s="2" t="inlineStr">
        <is>
          <t>easyeda2kicad:L0402-R-RD</t>
        </is>
      </c>
      <c r="D19" s="2" t="inlineStr">
        <is>
          <t>C86065</t>
        </is>
      </c>
      <c r="E19" s="2" t="inlineStr">
        <is>
          <t>Murata Electronics</t>
        </is>
      </c>
      <c r="F19" s="2" t="inlineStr">
        <is>
          <t>LQG15HS4N7S02D</t>
        </is>
      </c>
      <c r="G19" s="2" t="inlineStr">
        <is>
          <t>160mΩ 4.7nH 6GHz 700mA 8@100MHz Multilayer inductor 0402 Inductors (SMD) ROHS</t>
        </is>
      </c>
      <c r="H19" s="2" t="inlineStr">
        <is>
          <t>0402</t>
        </is>
      </c>
      <c r="I19" s="2" t="inlineStr">
        <is>
          <t>Extended</t>
        </is>
      </c>
      <c r="J19" s="2" t="inlineStr">
        <is>
          <t>370072</t>
        </is>
      </c>
      <c r="K19" s="2" t="inlineStr">
        <is>
          <t>1</t>
        </is>
      </c>
      <c r="L19" s="2" t="inlineStr">
        <is>
          <t>10000</t>
        </is>
      </c>
      <c r="M19" s="2" t="inlineStr">
        <is>
          <t>1</t>
        </is>
      </c>
      <c r="N19" s="2" t="inlineStr">
        <is>
          <t>1</t>
        </is>
      </c>
      <c r="O19" s="2" t="inlineStr">
        <is>
          <t>0.023</t>
        </is>
      </c>
      <c r="P19" s="2" t="inlineStr">
        <is>
          <t>0.023</t>
        </is>
      </c>
      <c r="Q19" s="2" t="inlineStr">
        <is>
          <t>4.7 nH RF matching inductor; schematic footprint should be 0402, not the 4x4 power inductor footprint.</t>
        </is>
      </c>
    </row>
    <row r="20">
      <c r="A20" s="2" t="inlineStr">
        <is>
          <t>LED1,LED2</t>
        </is>
      </c>
      <c r="B20" s="2" t="inlineStr">
        <is>
          <t>19-237/R6GHBHC-A01/2T</t>
        </is>
      </c>
      <c r="C20" s="2" t="inlineStr">
        <is>
          <t>easyeda2kicad:LED-ARRAY-SMD_4P-L1.6-W1.6-BL_1</t>
        </is>
      </c>
      <c r="D20" s="2" t="inlineStr">
        <is>
          <t>C60105</t>
        </is>
      </c>
      <c r="E20" s="2" t="inlineStr">
        <is>
          <t>Everlight Elec</t>
        </is>
      </c>
      <c r="F20" s="2" t="inlineStr">
        <is>
          <t>19-237/R6GHBHC-A01/2T</t>
        </is>
      </c>
      <c r="G20" s="2" t="inlineStr">
        <is>
          <t>120° Common Anode SMD-4P,1.6x1.6mm RGB LEDs ROHS</t>
        </is>
      </c>
      <c r="H20" s="2" t="inlineStr">
        <is>
          <t>SMD-4P,1.6x1.6mm</t>
        </is>
      </c>
      <c r="I20" s="2" t="inlineStr">
        <is>
          <t>Extended</t>
        </is>
      </c>
      <c r="J20" s="2" t="inlineStr">
        <is>
          <t>52185</t>
        </is>
      </c>
      <c r="K20" s="2" t="inlineStr">
        <is>
          <t>1</t>
        </is>
      </c>
      <c r="L20" s="2" t="inlineStr">
        <is>
          <t>2000</t>
        </is>
      </c>
      <c r="M20" s="2" t="inlineStr">
        <is>
          <t>2</t>
        </is>
      </c>
      <c r="N20" s="2" t="inlineStr">
        <is>
          <t>2</t>
        </is>
      </c>
      <c r="O20" s="2" t="inlineStr">
        <is>
          <t>0.0624</t>
        </is>
      </c>
      <c r="P20" s="2" t="inlineStr">
        <is>
          <t>0.1248</t>
        </is>
      </c>
      <c r="Q20" s="2" t="inlineStr"/>
    </row>
    <row r="21">
      <c r="A21" s="2" t="inlineStr">
        <is>
          <t>P1</t>
        </is>
      </c>
      <c r="B21" s="2" t="inlineStr">
        <is>
          <t>USB_C_Plug_USB2.0</t>
        </is>
      </c>
      <c r="C21" s="2" t="inlineStr">
        <is>
          <t>easyeda2kicad:TYPE-C-SMD_TYPE-C-6P_1</t>
        </is>
      </c>
      <c r="D21" s="2" t="inlineStr">
        <is>
          <t>C456012</t>
        </is>
      </c>
      <c r="E21" s="2" t="inlineStr">
        <is>
          <t>SHOU HAN</t>
        </is>
      </c>
      <c r="F21" s="2" t="inlineStr">
        <is>
          <t>TYPE-C 6P</t>
        </is>
      </c>
      <c r="G21" s="2" t="inlineStr">
        <is>
          <t>-40℃~+85℃ 1 3,000 Cycles 3A 5V 6P Black Female Surface Mount, Right Angle Type-C SMD USB Connectors ROHS</t>
        </is>
      </c>
      <c r="H21" s="2" t="inlineStr">
        <is>
          <t>SMD</t>
        </is>
      </c>
      <c r="I21" s="2" t="inlineStr">
        <is>
          <t>Extended</t>
        </is>
      </c>
      <c r="J21" s="2" t="inlineStr">
        <is>
          <t>585501</t>
        </is>
      </c>
      <c r="K21" s="2" t="inlineStr">
        <is>
          <t>1</t>
        </is>
      </c>
      <c r="L21" s="2" t="inlineStr">
        <is>
          <t>1000</t>
        </is>
      </c>
      <c r="M21" s="2" t="inlineStr">
        <is>
          <t>1</t>
        </is>
      </c>
      <c r="N21" s="2" t="inlineStr">
        <is>
          <t>1</t>
        </is>
      </c>
      <c r="O21" s="2" t="inlineStr">
        <is>
          <t>0.0385</t>
        </is>
      </c>
      <c r="P21" s="2" t="inlineStr">
        <is>
          <t>0.0385</t>
        </is>
      </c>
      <c r="Q21" s="2" t="inlineStr">
        <is>
          <t>USB-C 6-pin receptacle.</t>
        </is>
      </c>
    </row>
    <row r="22">
      <c r="A22" s="2" t="inlineStr">
        <is>
          <t>Q1,Q2,Q4</t>
        </is>
      </c>
      <c r="B22" s="2" t="inlineStr">
        <is>
          <t>BSS84</t>
        </is>
      </c>
      <c r="C22" s="2" t="inlineStr">
        <is>
          <t>Package_TO_SOT_SMD:SOT-23</t>
        </is>
      </c>
      <c r="D22" s="2" t="inlineStr">
        <is>
          <t>C3018484</t>
        </is>
      </c>
      <c r="E22" s="2" t="inlineStr">
        <is>
          <t>FUXINSEMI</t>
        </is>
      </c>
      <c r="F22" s="2" t="inlineStr">
        <is>
          <t>BSS84</t>
        </is>
      </c>
      <c r="G22" s="2" t="inlineStr">
        <is>
          <t>-55℃~+150℃ 1 P-Channel 10pF 10Ω@5V 130mA 225mW 2V 30pF 50V 5pF SOT-23 MOSFETs ROHS</t>
        </is>
      </c>
      <c r="H22" s="2" t="inlineStr">
        <is>
          <t>SOT-23</t>
        </is>
      </c>
      <c r="I22" s="2" t="inlineStr">
        <is>
          <t>Extended</t>
        </is>
      </c>
      <c r="J22" s="2" t="inlineStr">
        <is>
          <t>17861</t>
        </is>
      </c>
      <c r="K22" s="2" t="inlineStr">
        <is>
          <t>1</t>
        </is>
      </c>
      <c r="L22" s="2" t="inlineStr">
        <is>
          <t>3000</t>
        </is>
      </c>
      <c r="M22" s="2" t="inlineStr">
        <is>
          <t>3</t>
        </is>
      </c>
      <c r="N22" s="2" t="inlineStr">
        <is>
          <t>3</t>
        </is>
      </c>
      <c r="O22" s="2" t="inlineStr">
        <is>
          <t>0.0223</t>
        </is>
      </c>
      <c r="P22" s="2" t="inlineStr">
        <is>
          <t>0.0669</t>
        </is>
      </c>
      <c r="Q22" s="2" t="inlineStr">
        <is>
          <t>BSS84 P-channel MOSFET.</t>
        </is>
      </c>
    </row>
    <row r="23">
      <c r="A23" s="2" t="inlineStr">
        <is>
          <t>Q3,Q5,Q6</t>
        </is>
      </c>
      <c r="B23" s="2" t="inlineStr">
        <is>
          <t>2N7002</t>
        </is>
      </c>
      <c r="C23" s="2" t="inlineStr">
        <is>
          <t>Package_TO_SOT_SMD:SOT-23</t>
        </is>
      </c>
      <c r="D23" s="2" t="inlineStr">
        <is>
          <t>C8545</t>
        </is>
      </c>
      <c r="E23" s="2" t="inlineStr">
        <is>
          <t>Jiangsu Changjing Electronics Technology Co., Ltd.</t>
        </is>
      </c>
      <c r="F23" s="2" t="inlineStr">
        <is>
          <t>2N7002</t>
        </is>
      </c>
      <c r="G23" s="2" t="inlineStr">
        <is>
          <t>1 N-channel 115mA 2.5V 225mW 50pF 5pF 5Ω@10V 60V SOT-23 MOSFETs ROHS</t>
        </is>
      </c>
      <c r="H23" s="2" t="inlineStr">
        <is>
          <t>SOT-23</t>
        </is>
      </c>
      <c r="I23" s="2" t="inlineStr">
        <is>
          <t>Basic</t>
        </is>
      </c>
      <c r="J23" s="2" t="inlineStr">
        <is>
          <t>514991</t>
        </is>
      </c>
      <c r="K23" s="2" t="inlineStr">
        <is>
          <t>1</t>
        </is>
      </c>
      <c r="L23" s="2" t="inlineStr">
        <is>
          <t>3000</t>
        </is>
      </c>
      <c r="M23" s="2" t="inlineStr">
        <is>
          <t>3</t>
        </is>
      </c>
      <c r="N23" s="2" t="inlineStr">
        <is>
          <t>3</t>
        </is>
      </c>
      <c r="O23" s="2" t="inlineStr">
        <is>
          <t>0.0154</t>
        </is>
      </c>
      <c r="P23" s="2" t="inlineStr">
        <is>
          <t>0.0462</t>
        </is>
      </c>
      <c r="Q23" s="2" t="inlineStr">
        <is>
          <t>2N7002 N-channel MOSFET.</t>
        </is>
      </c>
    </row>
    <row r="24">
      <c r="A24" s="2" t="inlineStr">
        <is>
          <t>R1</t>
        </is>
      </c>
      <c r="B24" s="2" t="inlineStr">
        <is>
          <t>47k</t>
        </is>
      </c>
      <c r="C24" s="2" t="inlineStr">
        <is>
          <t>Resistor_SMD:R_0402_1005Metric</t>
        </is>
      </c>
      <c r="D24" s="2" t="inlineStr">
        <is>
          <t>C25792</t>
        </is>
      </c>
      <c r="E24" s="2" t="inlineStr">
        <is>
          <t>UNI-ROYAL(Uniroyal Elec)</t>
        </is>
      </c>
      <c r="F24" s="2" t="inlineStr">
        <is>
          <t>0402WGF4702TCE</t>
        </is>
      </c>
      <c r="G24" s="2" t="inlineStr">
        <is>
          <t>-55℃~+155℃ 47kΩ 50V 62.5mW Thick Film Resistor ±1% ±100ppm/℃ 0402 Chip Resistor - Surface Mount ROHS</t>
        </is>
      </c>
      <c r="H24" s="2" t="inlineStr">
        <is>
          <t>0402</t>
        </is>
      </c>
      <c r="I24" s="2" t="inlineStr">
        <is>
          <t>Basic</t>
        </is>
      </c>
      <c r="J24" s="2" t="inlineStr">
        <is>
          <t>1476362</t>
        </is>
      </c>
      <c r="K24" s="2" t="inlineStr">
        <is>
          <t>1</t>
        </is>
      </c>
      <c r="L24" s="2" t="inlineStr">
        <is>
          <t>10000</t>
        </is>
      </c>
      <c r="M24" s="2" t="inlineStr">
        <is>
          <t>1</t>
        </is>
      </c>
      <c r="N24" s="2" t="inlineStr">
        <is>
          <t>1</t>
        </is>
      </c>
      <c r="O24" s="2" t="inlineStr">
        <is>
          <t>0.0012</t>
        </is>
      </c>
      <c r="P24" s="2" t="inlineStr">
        <is>
          <t>0.0012</t>
        </is>
      </c>
      <c r="Q24" s="2" t="inlineStr">
        <is>
          <t>47 kOhm 0402 1%.</t>
        </is>
      </c>
    </row>
    <row r="25">
      <c r="A25" s="2" t="inlineStr">
        <is>
          <t>R2</t>
        </is>
      </c>
      <c r="B25" s="2" t="inlineStr">
        <is>
          <t>150k</t>
        </is>
      </c>
      <c r="C25" s="2" t="inlineStr">
        <is>
          <t>Resistor_SMD:R_0402_1005Metric</t>
        </is>
      </c>
      <c r="D25" s="2" t="inlineStr">
        <is>
          <t>C22369540</t>
        </is>
      </c>
      <c r="E25" s="2" t="inlineStr">
        <is>
          <t>HKR(Hong Kong Resistors)</t>
        </is>
      </c>
      <c r="F25" s="2" t="inlineStr">
        <is>
          <t>RCA02150KFLF</t>
        </is>
      </c>
      <c r="G25" s="2" t="inlineStr">
        <is>
          <t>-55℃~+155℃ 150kΩ 50V 62.5mW Thick Film Resistor ±1% ±200ppm/℃ 0402 Chip Resistor - Surface Mount ROHS</t>
        </is>
      </c>
      <c r="H25" s="2" t="inlineStr">
        <is>
          <t>0402</t>
        </is>
      </c>
      <c r="I25" s="2" t="inlineStr">
        <is>
          <t>Extended</t>
        </is>
      </c>
      <c r="J25" s="2" t="inlineStr">
        <is>
          <t>517</t>
        </is>
      </c>
      <c r="K25" s="2" t="inlineStr">
        <is>
          <t>1</t>
        </is>
      </c>
      <c r="L25" s="2" t="inlineStr">
        <is>
          <t>10000</t>
        </is>
      </c>
      <c r="M25" s="2" t="inlineStr">
        <is>
          <t>1</t>
        </is>
      </c>
      <c r="N25" s="2" t="inlineStr">
        <is>
          <t>1</t>
        </is>
      </c>
      <c r="O25" s="2" t="inlineStr">
        <is>
          <t>0.0004</t>
        </is>
      </c>
      <c r="P25" s="2" t="inlineStr">
        <is>
          <t>0.0004</t>
        </is>
      </c>
      <c r="Q25" s="2" t="inlineStr">
        <is>
          <t>150 kOhm 0402 1%.</t>
        </is>
      </c>
    </row>
    <row r="26">
      <c r="A26" s="2" t="inlineStr">
        <is>
          <t>R3,R4,R20,R22</t>
        </is>
      </c>
      <c r="B26" s="2" t="inlineStr">
        <is>
          <t>10k</t>
        </is>
      </c>
      <c r="C26" s="2" t="inlineStr">
        <is>
          <t>Resistor_SMD:R_0402_1005Metric</t>
        </is>
      </c>
      <c r="D26" s="2" t="inlineStr">
        <is>
          <t>C49330233</t>
        </is>
      </c>
      <c r="E26" s="2" t="inlineStr">
        <is>
          <t>HKR(Hong Kong Resistors)</t>
        </is>
      </c>
      <c r="F26" s="2" t="inlineStr">
        <is>
          <t>AS0210KF</t>
        </is>
      </c>
      <c r="G26" s="2" t="inlineStr">
        <is>
          <t>-55℃~+155℃ 10kΩ 50V 62.5mW ±1% ±200ppm/℃ 0402 Chip Resistor - Surface Mount ROHS</t>
        </is>
      </c>
      <c r="H26" s="2" t="inlineStr">
        <is>
          <t>0402</t>
        </is>
      </c>
      <c r="I26" s="2" t="inlineStr">
        <is>
          <t>Extended</t>
        </is>
      </c>
      <c r="J26" s="2" t="inlineStr">
        <is>
          <t>1820</t>
        </is>
      </c>
      <c r="K26" s="2" t="inlineStr">
        <is>
          <t>1</t>
        </is>
      </c>
      <c r="L26" s="2" t="inlineStr">
        <is>
          <t>10000</t>
        </is>
      </c>
      <c r="M26" s="2" t="inlineStr">
        <is>
          <t>4</t>
        </is>
      </c>
      <c r="N26" s="2" t="inlineStr">
        <is>
          <t>4</t>
        </is>
      </c>
      <c r="O26" s="2" t="inlineStr">
        <is>
          <t>0.0016</t>
        </is>
      </c>
      <c r="P26" s="2" t="inlineStr">
        <is>
          <t>0.0064</t>
        </is>
      </c>
      <c r="Q26" s="2" t="inlineStr">
        <is>
          <t>10 kOhm 0402 1%; min-1 alternative to Basic C25744.</t>
        </is>
      </c>
    </row>
    <row r="27">
      <c r="A27" s="2" t="inlineStr">
        <is>
          <t>R5,R6,R28</t>
        </is>
      </c>
      <c r="B27" s="2" t="inlineStr">
        <is>
          <t>330</t>
        </is>
      </c>
      <c r="C27" s="2" t="inlineStr">
        <is>
          <t>Resistor_SMD:R_0402_1005Metric</t>
        </is>
      </c>
      <c r="D27" s="2" t="inlineStr">
        <is>
          <t>C25104</t>
        </is>
      </c>
      <c r="E27" s="2" t="inlineStr">
        <is>
          <t>UNI-ROYAL(Uniroyal Elec)</t>
        </is>
      </c>
      <c r="F27" s="2" t="inlineStr">
        <is>
          <t>0402WGF3300TCE</t>
        </is>
      </c>
      <c r="G27" s="2" t="inlineStr">
        <is>
          <t>-55℃~+155℃ 330Ω 50V 62.5mW Thick Film Resistor ±1% ±100ppm/℃ 0402 Chip Resistor - Surface Mount ROHS</t>
        </is>
      </c>
      <c r="H27" s="2" t="inlineStr">
        <is>
          <t>0402</t>
        </is>
      </c>
      <c r="I27" s="2" t="inlineStr">
        <is>
          <t>Basic</t>
        </is>
      </c>
      <c r="J27" s="2" t="inlineStr">
        <is>
          <t>918651</t>
        </is>
      </c>
      <c r="K27" s="2" t="inlineStr">
        <is>
          <t>1</t>
        </is>
      </c>
      <c r="L27" s="2" t="inlineStr">
        <is>
          <t>10000</t>
        </is>
      </c>
      <c r="M27" s="2" t="inlineStr">
        <is>
          <t>3</t>
        </is>
      </c>
      <c r="N27" s="2" t="inlineStr">
        <is>
          <t>3</t>
        </is>
      </c>
      <c r="O27" s="2" t="inlineStr">
        <is>
          <t>0.0012</t>
        </is>
      </c>
      <c r="P27" s="2" t="inlineStr">
        <is>
          <t>0.0036</t>
        </is>
      </c>
      <c r="Q27" s="2" t="inlineStr">
        <is>
          <t>330 Ohm 0402 1%; schematic footprint was blank.</t>
        </is>
      </c>
    </row>
    <row r="28">
      <c r="A28" s="2" t="inlineStr">
        <is>
          <t>R7,R8,R9,R10,R11,R12,R13,R14</t>
        </is>
      </c>
      <c r="B28" s="2" t="inlineStr">
        <is>
          <t>4.7</t>
        </is>
      </c>
      <c r="C28" s="2" t="inlineStr">
        <is>
          <t>Resistor_SMD:R_0402_1005Metric</t>
        </is>
      </c>
      <c r="D28" s="2" t="inlineStr">
        <is>
          <t>C25169</t>
        </is>
      </c>
      <c r="E28" s="2" t="inlineStr">
        <is>
          <t>UNI-ROYAL(Uniroyal Elec)</t>
        </is>
      </c>
      <c r="F28" s="2" t="inlineStr">
        <is>
          <t>0402WGJ047JTCE</t>
        </is>
      </c>
      <c r="G28" s="2" t="inlineStr">
        <is>
          <t>-55℃~+155℃ 4.7Ω 50V 62.5mW Thick Film Resistor ±200ppm/℃ ±5% 0402 Chip Resistor - Surface Mount ROHS</t>
        </is>
      </c>
      <c r="H28" s="2" t="inlineStr">
        <is>
          <t>0402</t>
        </is>
      </c>
      <c r="I28" s="2" t="inlineStr">
        <is>
          <t>Extended</t>
        </is>
      </c>
      <c r="J28" s="2" t="inlineStr">
        <is>
          <t>1975</t>
        </is>
      </c>
      <c r="K28" s="2" t="inlineStr">
        <is>
          <t>1</t>
        </is>
      </c>
      <c r="L28" s="2" t="inlineStr">
        <is>
          <t>10000</t>
        </is>
      </c>
      <c r="M28" s="2" t="inlineStr">
        <is>
          <t>8</t>
        </is>
      </c>
      <c r="N28" s="2" t="inlineStr">
        <is>
          <t>8</t>
        </is>
      </c>
      <c r="O28" s="2" t="inlineStr">
        <is>
          <t>0.0016</t>
        </is>
      </c>
      <c r="P28" s="2" t="inlineStr">
        <is>
          <t>0.0128</t>
        </is>
      </c>
      <c r="Q28" s="2" t="inlineStr">
        <is>
          <t>4.7 Ohm 0402 5%; verify tolerance is acceptable.</t>
        </is>
      </c>
    </row>
    <row r="29">
      <c r="A29" s="2" t="inlineStr">
        <is>
          <t>R15</t>
        </is>
      </c>
      <c r="B29" s="2" t="inlineStr">
        <is>
          <t>5.1k</t>
        </is>
      </c>
      <c r="C29" s="2" t="inlineStr">
        <is>
          <t>Resistor_SMD:R_0402_1005Metric</t>
        </is>
      </c>
      <c r="D29" s="2" t="inlineStr">
        <is>
          <t>C25905</t>
        </is>
      </c>
      <c r="E29" s="2" t="inlineStr">
        <is>
          <t>UNI-ROYAL(Uniroyal Elec)</t>
        </is>
      </c>
      <c r="F29" s="2" t="inlineStr">
        <is>
          <t>0402WGF5101TCE</t>
        </is>
      </c>
      <c r="G29" s="2" t="inlineStr">
        <is>
          <t>-55℃~+155℃ 5.1kΩ 50V 62.5mW Thick Film Resistor ±1% ±100ppm/℃ 0402 Chip Resistor - Surface Mount ROHS</t>
        </is>
      </c>
      <c r="H29" s="2" t="inlineStr">
        <is>
          <t>0402</t>
        </is>
      </c>
      <c r="I29" s="2" t="inlineStr">
        <is>
          <t>Basic</t>
        </is>
      </c>
      <c r="J29" s="2" t="inlineStr">
        <is>
          <t>2485648</t>
        </is>
      </c>
      <c r="K29" s="2" t="inlineStr">
        <is>
          <t>1</t>
        </is>
      </c>
      <c r="L29" s="2" t="inlineStr">
        <is>
          <t>10000</t>
        </is>
      </c>
      <c r="M29" s="2" t="inlineStr">
        <is>
          <t>1</t>
        </is>
      </c>
      <c r="N29" s="2" t="inlineStr">
        <is>
          <t>1</t>
        </is>
      </c>
      <c r="O29" s="2" t="inlineStr">
        <is>
          <t>0.0009</t>
        </is>
      </c>
      <c r="P29" s="2" t="inlineStr">
        <is>
          <t>0.0009</t>
        </is>
      </c>
      <c r="Q29" s="2" t="inlineStr">
        <is>
          <t>5.1 kOhm 0402 1%.</t>
        </is>
      </c>
    </row>
    <row r="30">
      <c r="A30" s="2" t="inlineStr">
        <is>
          <t>R16,R17</t>
        </is>
      </c>
      <c r="B30" s="2" t="inlineStr">
        <is>
          <t>22R</t>
        </is>
      </c>
      <c r="C30" s="2" t="inlineStr">
        <is>
          <t>Resistor_SMD:R_0402_1005Metric</t>
        </is>
      </c>
      <c r="D30" s="2" t="inlineStr">
        <is>
          <t>C100318</t>
        </is>
      </c>
      <c r="E30" s="2" t="inlineStr">
        <is>
          <t>LIZ Elec</t>
        </is>
      </c>
      <c r="F30" s="2" t="inlineStr">
        <is>
          <t>CR0402FF22R0G</t>
        </is>
      </c>
      <c r="G30" s="2" t="inlineStr">
        <is>
          <t>-55℃~+125℃ 22Ω 50V 62.5mW Thick Film Resistor ±1% ±200ppm/℃ 0402 Chip Resistor - Surface Mount ROHS</t>
        </is>
      </c>
      <c r="H30" s="2" t="inlineStr">
        <is>
          <t>0402</t>
        </is>
      </c>
      <c r="I30" s="2" t="inlineStr">
        <is>
          <t>Extended</t>
        </is>
      </c>
      <c r="J30" s="2" t="inlineStr">
        <is>
          <t>1744</t>
        </is>
      </c>
      <c r="K30" s="2" t="inlineStr">
        <is>
          <t>1</t>
        </is>
      </c>
      <c r="L30" s="2" t="inlineStr">
        <is>
          <t>10000</t>
        </is>
      </c>
      <c r="M30" s="2" t="inlineStr">
        <is>
          <t>2</t>
        </is>
      </c>
      <c r="N30" s="2" t="inlineStr">
        <is>
          <t>2</t>
        </is>
      </c>
      <c r="O30" s="2" t="inlineStr">
        <is>
          <t>0.0006</t>
        </is>
      </c>
      <c r="P30" s="2" t="inlineStr">
        <is>
          <t>0.0012</t>
        </is>
      </c>
      <c r="Q30" s="2" t="inlineStr">
        <is>
          <t>22 Ohm 0402 1%.</t>
        </is>
      </c>
    </row>
    <row r="31">
      <c r="A31" s="2" t="inlineStr">
        <is>
          <t>R18,R23,R24</t>
        </is>
      </c>
      <c r="B31" s="2" t="inlineStr">
        <is>
          <t>100R</t>
        </is>
      </c>
      <c r="C31" s="2" t="inlineStr">
        <is>
          <t>Resistor_SMD:R_0402_1005Metric</t>
        </is>
      </c>
      <c r="D31" s="2" t="inlineStr">
        <is>
          <t>C25076</t>
        </is>
      </c>
      <c r="E31" s="2" t="inlineStr">
        <is>
          <t>UNI-ROYAL(Uniroyal Elec)</t>
        </is>
      </c>
      <c r="F31" s="2" t="inlineStr">
        <is>
          <t>0402WGF1000TCE</t>
        </is>
      </c>
      <c r="G31" s="2" t="inlineStr">
        <is>
          <t>-55℃~+155℃ 100Ω 50V 62.5mW Thick Film Resistor ±1% ±100ppm/℃ 0402 Chip Resistor - Surface Mount ROHS</t>
        </is>
      </c>
      <c r="H31" s="2" t="inlineStr">
        <is>
          <t>0402</t>
        </is>
      </c>
      <c r="I31" s="2" t="inlineStr">
        <is>
          <t>Basic</t>
        </is>
      </c>
      <c r="J31" s="2" t="inlineStr">
        <is>
          <t>3457279</t>
        </is>
      </c>
      <c r="K31" s="2" t="inlineStr">
        <is>
          <t>1</t>
        </is>
      </c>
      <c r="L31" s="2" t="inlineStr">
        <is>
          <t>10000</t>
        </is>
      </c>
      <c r="M31" s="2" t="inlineStr">
        <is>
          <t>3</t>
        </is>
      </c>
      <c r="N31" s="2" t="inlineStr">
        <is>
          <t>3</t>
        </is>
      </c>
      <c r="O31" s="2" t="inlineStr">
        <is>
          <t>0.0012</t>
        </is>
      </c>
      <c r="P31" s="2" t="inlineStr">
        <is>
          <t>0.0036</t>
        </is>
      </c>
      <c r="Q31" s="2" t="inlineStr">
        <is>
          <t>100 Ohm 0402 1%.</t>
        </is>
      </c>
    </row>
    <row r="32">
      <c r="A32" s="2" t="inlineStr">
        <is>
          <t>R19</t>
        </is>
      </c>
      <c r="B32" s="2" t="inlineStr">
        <is>
          <t>191k</t>
        </is>
      </c>
      <c r="C32" s="2" t="inlineStr">
        <is>
          <t>Resistor_SMD:R_0402_1005Metric</t>
        </is>
      </c>
      <c r="D32" s="2" t="inlineStr">
        <is>
          <t>C159084</t>
        </is>
      </c>
      <c r="E32" s="2" t="inlineStr">
        <is>
          <t>RALEC</t>
        </is>
      </c>
      <c r="F32" s="2" t="inlineStr">
        <is>
          <t>RTT021913FTH</t>
        </is>
      </c>
      <c r="G32" s="2" t="inlineStr">
        <is>
          <t>-55℃~+155℃ 191kΩ 50V 62.5mW Thick Film Resistor ±1% ±100ppm/℃ 0402 Chip Resistor - Surface Mount ROHS</t>
        </is>
      </c>
      <c r="H32" s="2" t="inlineStr">
        <is>
          <t>0402</t>
        </is>
      </c>
      <c r="I32" s="2" t="inlineStr">
        <is>
          <t>Extended</t>
        </is>
      </c>
      <c r="J32" s="2" t="inlineStr">
        <is>
          <t>9213</t>
        </is>
      </c>
      <c r="K32" s="2" t="inlineStr">
        <is>
          <t>1</t>
        </is>
      </c>
      <c r="L32" s="2" t="inlineStr">
        <is>
          <t>10000</t>
        </is>
      </c>
      <c r="M32" s="2" t="inlineStr">
        <is>
          <t>1</t>
        </is>
      </c>
      <c r="N32" s="2" t="inlineStr">
        <is>
          <t>1</t>
        </is>
      </c>
      <c r="O32" s="2" t="inlineStr">
        <is>
          <t>0.0007</t>
        </is>
      </c>
      <c r="P32" s="2" t="inlineStr">
        <is>
          <t>0.0007</t>
        </is>
      </c>
      <c r="Q32" s="2" t="inlineStr">
        <is>
          <t>191 kOhm 0402 1%.</t>
        </is>
      </c>
    </row>
    <row r="33">
      <c r="A33" s="2" t="inlineStr">
        <is>
          <t>R21</t>
        </is>
      </c>
      <c r="B33" s="2" t="inlineStr">
        <is>
          <t>240k</t>
        </is>
      </c>
      <c r="C33" s="2" t="inlineStr">
        <is>
          <t>Resistor_SMD:R_0402_1005Metric</t>
        </is>
      </c>
      <c r="D33" s="2" t="inlineStr">
        <is>
          <t>C64043</t>
        </is>
      </c>
      <c r="E33" s="2" t="inlineStr">
        <is>
          <t>UNI-ROYAL(Uniroyal Elec)</t>
        </is>
      </c>
      <c r="F33" s="2" t="inlineStr">
        <is>
          <t>0402WGF2403TCE</t>
        </is>
      </c>
      <c r="G33" s="2" t="inlineStr">
        <is>
          <t>-55℃~+155℃ 240kΩ 50V 62.5mW Thick Film Resistor ±1% ±100ppm/℃ 0402 Chip Resistor - Surface Mount ROHS</t>
        </is>
      </c>
      <c r="H33" s="2" t="inlineStr">
        <is>
          <t>0402</t>
        </is>
      </c>
      <c r="I33" s="2" t="inlineStr">
        <is>
          <t>Extended</t>
        </is>
      </c>
      <c r="J33" s="2" t="inlineStr">
        <is>
          <t>5763</t>
        </is>
      </c>
      <c r="K33" s="2" t="inlineStr">
        <is>
          <t>1</t>
        </is>
      </c>
      <c r="L33" s="2" t="inlineStr">
        <is>
          <t>10000</t>
        </is>
      </c>
      <c r="M33" s="2" t="inlineStr">
        <is>
          <t>1</t>
        </is>
      </c>
      <c r="N33" s="2" t="inlineStr">
        <is>
          <t>1</t>
        </is>
      </c>
      <c r="O33" s="2" t="inlineStr">
        <is>
          <t>0.001</t>
        </is>
      </c>
      <c r="P33" s="2" t="inlineStr">
        <is>
          <t>0.001</t>
        </is>
      </c>
      <c r="Q33" s="2" t="inlineStr">
        <is>
          <t>240 kOhm 0402 1%.</t>
        </is>
      </c>
    </row>
    <row r="34">
      <c r="A34" s="2" t="inlineStr">
        <is>
          <t>R25</t>
        </is>
      </c>
      <c r="B34" s="2" t="inlineStr">
        <is>
          <t>100k</t>
        </is>
      </c>
      <c r="C34" s="2" t="inlineStr">
        <is>
          <t>Resistor_SMD:R_0402_1005Metric</t>
        </is>
      </c>
      <c r="D34" s="2" t="inlineStr">
        <is>
          <t>C144809</t>
        </is>
      </c>
      <c r="E34" s="2" t="inlineStr">
        <is>
          <t>YAGEO</t>
        </is>
      </c>
      <c r="F34" s="2" t="inlineStr">
        <is>
          <t>AC0402FR-07100KL</t>
        </is>
      </c>
      <c r="G34" s="2" t="inlineStr">
        <is>
          <t>-55℃~+155℃ 100kΩ 50V 62.5mW Thick Film Resistor ±1% ±100ppm/℃ 0402 Chip Resistor - Surface Mount ROHS</t>
        </is>
      </c>
      <c r="H34" s="2" t="inlineStr">
        <is>
          <t>0402</t>
        </is>
      </c>
      <c r="I34" s="2" t="inlineStr">
        <is>
          <t>Extended</t>
        </is>
      </c>
      <c r="J34" s="2" t="inlineStr">
        <is>
          <t>10270</t>
        </is>
      </c>
      <c r="K34" s="2" t="inlineStr">
        <is>
          <t>1</t>
        </is>
      </c>
      <c r="L34" s="2" t="inlineStr">
        <is>
          <t>10000</t>
        </is>
      </c>
      <c r="M34" s="2" t="inlineStr">
        <is>
          <t>1</t>
        </is>
      </c>
      <c r="N34" s="2" t="inlineStr">
        <is>
          <t>1</t>
        </is>
      </c>
      <c r="O34" s="2" t="inlineStr">
        <is>
          <t>0.0018</t>
        </is>
      </c>
      <c r="P34" s="2" t="inlineStr">
        <is>
          <t>0.0018</t>
        </is>
      </c>
      <c r="Q34" s="2" t="inlineStr">
        <is>
          <t>100 kOhm 0402 1%; min-1 alternative to Basic C25741.</t>
        </is>
      </c>
    </row>
    <row r="35">
      <c r="A35" s="2" t="inlineStr">
        <is>
          <t>R26,R27</t>
        </is>
      </c>
      <c r="B35" s="2" t="inlineStr">
        <is>
          <t>4.7k</t>
        </is>
      </c>
      <c r="C35" s="2" t="inlineStr">
        <is>
          <t>Resistor_SMD:R_0402_1005Metric</t>
        </is>
      </c>
      <c r="D35" s="2" t="inlineStr">
        <is>
          <t>C25900</t>
        </is>
      </c>
      <c r="E35" s="2" t="inlineStr">
        <is>
          <t>UNI-ROYAL(Uniroyal Elec)</t>
        </is>
      </c>
      <c r="F35" s="2" t="inlineStr">
        <is>
          <t>0402WGF4701TCE</t>
        </is>
      </c>
      <c r="G35" s="2" t="inlineStr">
        <is>
          <t>-55℃~+155℃ 4.7kΩ 50V 62.5mW Thick Film Resistor ±1% ±100ppm/℃ 0402 Chip Resistor - Surface Mount ROHS</t>
        </is>
      </c>
      <c r="H35" s="2" t="inlineStr">
        <is>
          <t>0402</t>
        </is>
      </c>
      <c r="I35" s="2" t="inlineStr">
        <is>
          <t>Basic</t>
        </is>
      </c>
      <c r="J35" s="2" t="inlineStr">
        <is>
          <t>4031216</t>
        </is>
      </c>
      <c r="K35" s="2" t="inlineStr">
        <is>
          <t>1</t>
        </is>
      </c>
      <c r="L35" s="2" t="inlineStr">
        <is>
          <t>10000</t>
        </is>
      </c>
      <c r="M35" s="2" t="inlineStr">
        <is>
          <t>2</t>
        </is>
      </c>
      <c r="N35" s="2" t="inlineStr">
        <is>
          <t>2</t>
        </is>
      </c>
      <c r="O35" s="2" t="inlineStr">
        <is>
          <t>0.0011</t>
        </is>
      </c>
      <c r="P35" s="2" t="inlineStr">
        <is>
          <t>0.0022</t>
        </is>
      </c>
      <c r="Q35" s="2" t="inlineStr">
        <is>
          <t>4.7 kOhm 0402 1%.</t>
        </is>
      </c>
    </row>
    <row r="36">
      <c r="A36" s="2" t="inlineStr">
        <is>
          <t>RV1</t>
        </is>
      </c>
      <c r="B36" s="2" t="inlineStr">
        <is>
          <t>10k</t>
        </is>
      </c>
      <c r="C36" s="2" t="inlineStr">
        <is>
          <t>easyeda2kicad:RES-ADJ-SMD_3P-L3.0-W3.8-P1.75-BR</t>
        </is>
      </c>
      <c r="D36" s="2" t="inlineStr">
        <is>
          <t>C719176</t>
        </is>
      </c>
      <c r="E36" s="2" t="inlineStr">
        <is>
          <t>BOURNS</t>
        </is>
      </c>
      <c r="F36" s="2" t="inlineStr">
        <is>
          <t>TC33X-2-103E</t>
        </is>
      </c>
      <c r="G36" s="2" t="inlineStr">
        <is>
          <t>1 10kΩ 150mW ±25% ±250ppm/℃ SMD-3P,3.8x3.6mm Potentiometers, Variable Resistors ROHS</t>
        </is>
      </c>
      <c r="H36" s="2" t="inlineStr">
        <is>
          <t>SMD-3P,3.8x3.6mm</t>
        </is>
      </c>
      <c r="I36" s="2" t="inlineStr">
        <is>
          <t>Extended</t>
        </is>
      </c>
      <c r="J36" s="2" t="inlineStr">
        <is>
          <t>73160</t>
        </is>
      </c>
      <c r="K36" s="2" t="inlineStr">
        <is>
          <t>1</t>
        </is>
      </c>
      <c r="L36" s="2" t="inlineStr">
        <is>
          <t>2500</t>
        </is>
      </c>
      <c r="M36" s="2" t="inlineStr">
        <is>
          <t>1</t>
        </is>
      </c>
      <c r="N36" s="2" t="inlineStr">
        <is>
          <t>1</t>
        </is>
      </c>
      <c r="O36" s="2" t="inlineStr">
        <is>
          <t>0.1065</t>
        </is>
      </c>
      <c r="P36" s="2" t="inlineStr">
        <is>
          <t>0.1065</t>
        </is>
      </c>
      <c r="Q36" s="2" t="inlineStr">
        <is>
          <t>10 kOhm SMD trimmer selected; schematic/spec did not define a previous resistance value.</t>
        </is>
      </c>
    </row>
    <row r="37">
      <c r="A37" s="2" t="inlineStr">
        <is>
          <t>SW1</t>
        </is>
      </c>
      <c r="B37" s="2" t="inlineStr">
        <is>
          <t>SW_Push</t>
        </is>
      </c>
      <c r="C37" s="2" t="inlineStr">
        <is>
          <t>easyeda2kicad:KEY-SMD_4P-L4.2-W3.2-P2.20-LS4.6</t>
        </is>
      </c>
      <c r="D37" s="2" t="inlineStr">
        <is>
          <t>C139797</t>
        </is>
      </c>
      <c r="E37" s="2" t="inlineStr">
        <is>
          <t>ALPSALPINE</t>
        </is>
      </c>
      <c r="F37" s="2" t="inlineStr">
        <is>
          <t>SKRPACE010</t>
        </is>
      </c>
      <c r="G37" s="2" t="inlineStr">
        <is>
          <t>-30℃~+85℃ 16V 2.5mm 2.6N 3.2mm 4.2mm 50,000 cycles 50mA J-Lead Oval button SPST-NO Surface Mount,Vertical SMD-4P,4.2x3.2mm Tactile Switches ROHS</t>
        </is>
      </c>
      <c r="H37" s="2" t="inlineStr">
        <is>
          <t>SMD-4P,4.2x3.2mm</t>
        </is>
      </c>
      <c r="I37" s="2" t="inlineStr">
        <is>
          <t>Extended</t>
        </is>
      </c>
      <c r="J37" s="2" t="inlineStr">
        <is>
          <t>129234</t>
        </is>
      </c>
      <c r="K37" s="2" t="inlineStr">
        <is>
          <t>1</t>
        </is>
      </c>
      <c r="L37" s="2" t="inlineStr">
        <is>
          <t>4000</t>
        </is>
      </c>
      <c r="M37" s="2" t="inlineStr">
        <is>
          <t>1</t>
        </is>
      </c>
      <c r="N37" s="2" t="inlineStr">
        <is>
          <t>1</t>
        </is>
      </c>
      <c r="O37" s="2" t="inlineStr">
        <is>
          <t>0.0629</t>
        </is>
      </c>
      <c r="P37" s="2" t="inlineStr">
        <is>
          <t>0.0629</t>
        </is>
      </c>
      <c r="Q37" s="2" t="inlineStr">
        <is>
          <t>SMD tactile switch imported with easyeda2kicad.</t>
        </is>
      </c>
    </row>
    <row r="38">
      <c r="A38" s="2" t="inlineStr">
        <is>
          <t>TH1</t>
        </is>
      </c>
      <c r="B38" s="2" t="inlineStr">
        <is>
          <t>Thermistor</t>
        </is>
      </c>
      <c r="C38" s="2" t="inlineStr">
        <is>
          <t>Resistor_SMD:R_0402_1005Metric</t>
        </is>
      </c>
      <c r="D38" s="2" t="inlineStr">
        <is>
          <t>C77131</t>
        </is>
      </c>
      <c r="E38" s="2" t="inlineStr">
        <is>
          <t>Murata Electronics</t>
        </is>
      </c>
      <c r="F38" s="2" t="inlineStr">
        <is>
          <t>NCP15XH103F03RC</t>
        </is>
      </c>
      <c r="G38" s="2" t="inlineStr">
        <is>
          <t>-40℃~+125℃ 0.5mm 100mW 10kΩ 1mW/℃ 1mm 310uA 3380K 3434K 3455K ±1% ±1% 0402 NTC Thermistors ROHS</t>
        </is>
      </c>
      <c r="H38" s="2" t="inlineStr">
        <is>
          <t>0402</t>
        </is>
      </c>
      <c r="I38" s="2" t="inlineStr">
        <is>
          <t>Extended</t>
        </is>
      </c>
      <c r="J38" s="2" t="inlineStr">
        <is>
          <t>122426</t>
        </is>
      </c>
      <c r="K38" s="2" t="inlineStr">
        <is>
          <t>1</t>
        </is>
      </c>
      <c r="L38" s="2" t="inlineStr">
        <is>
          <t>10000</t>
        </is>
      </c>
      <c r="M38" s="2" t="inlineStr">
        <is>
          <t>1</t>
        </is>
      </c>
      <c r="N38" s="2" t="inlineStr">
        <is>
          <t>1</t>
        </is>
      </c>
      <c r="O38" s="2" t="inlineStr">
        <is>
          <t>0.0199</t>
        </is>
      </c>
      <c r="P38" s="2" t="inlineStr">
        <is>
          <t>0.0199</t>
        </is>
      </c>
      <c r="Q38" s="2" t="inlineStr">
        <is>
          <t>10 kOhm 0402 NTC thermistor.</t>
        </is>
      </c>
    </row>
    <row r="39">
      <c r="A39" s="2" t="inlineStr">
        <is>
          <t>U1</t>
        </is>
      </c>
      <c r="B39" s="2" t="inlineStr">
        <is>
          <t>nRF52840</t>
        </is>
      </c>
      <c r="C39" s="2" t="inlineStr">
        <is>
          <t>Package_DFN_QFN:Nordic_AQFN-73-1EP_7x7mm_P0.5mm</t>
        </is>
      </c>
      <c r="D39" s="2" t="inlineStr">
        <is>
          <t>C190794</t>
        </is>
      </c>
      <c r="E39" s="2" t="inlineStr">
        <is>
          <t>Nordic Semicon</t>
        </is>
      </c>
      <c r="F39" s="2" t="inlineStr">
        <is>
          <t>NRF52840-QIAA-R</t>
        </is>
      </c>
      <c r="G39" s="2" t="inlineStr">
        <is>
          <t>-95dBm 1.7V~5.5V 2.4GHz 2.4GHz~2.4835GHz 2Mbps 4.82mA 6.26mA 8dBm SPI、USB、UART、ADC、I2S、PWM ZigBee、Bluetooth、LoRa、ISM transceiver AQFN-73-EP(7x7) RF Transceiver ICs ROHS</t>
        </is>
      </c>
      <c r="H39" s="2" t="inlineStr">
        <is>
          <t>AQFN-73-EP(7x7)</t>
        </is>
      </c>
      <c r="I39" s="2" t="inlineStr">
        <is>
          <t>Extended</t>
        </is>
      </c>
      <c r="J39" s="2" t="inlineStr">
        <is>
          <t>31360</t>
        </is>
      </c>
      <c r="K39" s="2" t="inlineStr">
        <is>
          <t>1</t>
        </is>
      </c>
      <c r="L39" s="2" t="inlineStr">
        <is>
          <t>3000</t>
        </is>
      </c>
      <c r="M39" s="2" t="inlineStr">
        <is>
          <t>1</t>
        </is>
      </c>
      <c r="N39" s="2" t="inlineStr">
        <is>
          <t>1</t>
        </is>
      </c>
      <c r="O39" s="2" t="inlineStr">
        <is>
          <t>5.7384</t>
        </is>
      </c>
      <c r="P39" s="2" t="inlineStr">
        <is>
          <t>5.7384</t>
        </is>
      </c>
      <c r="Q39" s="2" t="inlineStr">
        <is>
          <t>nRF52840-QIAA-R.</t>
        </is>
      </c>
    </row>
    <row r="40">
      <c r="A40" s="2" t="inlineStr">
        <is>
          <t>U2</t>
        </is>
      </c>
      <c r="B40" s="2" t="inlineStr">
        <is>
          <t>NRF9151-LACA-R7</t>
        </is>
      </c>
      <c r="C40" s="2" t="inlineStr">
        <is>
          <t>easyeda2kicad:LGA-113_L12.1-W11.1_NRF9151-LACA-R7</t>
        </is>
      </c>
      <c r="D40" s="2" t="inlineStr">
        <is>
          <t>C22397843</t>
        </is>
      </c>
      <c r="E40" s="2" t="inlineStr">
        <is>
          <t>Nordic Semicon</t>
        </is>
      </c>
      <c r="F40" s="2" t="inlineStr">
        <is>
          <t>nRF9151-LACA-R7</t>
        </is>
      </c>
      <c r="G40" s="2" t="inlineStr">
        <is>
          <t>LGA-113(12.1x11.1) RF Modules ROHS</t>
        </is>
      </c>
      <c r="H40" s="2" t="inlineStr">
        <is>
          <t>LGA-113(12.1x11.1)</t>
        </is>
      </c>
      <c r="I40" s="2" t="inlineStr">
        <is>
          <t>Extended</t>
        </is>
      </c>
      <c r="J40" s="2" t="inlineStr">
        <is>
          <t>628</t>
        </is>
      </c>
      <c r="K40" s="2" t="inlineStr">
        <is>
          <t>1</t>
        </is>
      </c>
      <c r="L40" s="2" t="inlineStr">
        <is>
          <t>100</t>
        </is>
      </c>
      <c r="M40" s="2" t="inlineStr">
        <is>
          <t>1</t>
        </is>
      </c>
      <c r="N40" s="2" t="inlineStr">
        <is>
          <t>1</t>
        </is>
      </c>
      <c r="O40" s="2" t="inlineStr">
        <is>
          <t>16.1428</t>
        </is>
      </c>
      <c r="P40" s="2" t="inlineStr">
        <is>
          <t>16.1428</t>
        </is>
      </c>
      <c r="Q40" s="2" t="inlineStr">
        <is>
          <t>nRF9151-LACA-R7 selected.</t>
        </is>
      </c>
    </row>
    <row r="41">
      <c r="A41" s="2" t="inlineStr">
        <is>
          <t>U3</t>
        </is>
      </c>
      <c r="B41" s="2" t="inlineStr">
        <is>
          <t>NPM1300</t>
        </is>
      </c>
      <c r="C41" s="2" t="inlineStr">
        <is>
          <t>easyeda2kicad:BGA-35_L3.1-W2.4-R5-C7-P0.42_NPM1300-CAAA-R</t>
        </is>
      </c>
      <c r="D41" s="2" t="inlineStr">
        <is>
          <t>C25346894</t>
        </is>
      </c>
      <c r="E41" s="2" t="inlineStr">
        <is>
          <t>Nordic Semicon</t>
        </is>
      </c>
      <c r="F41" s="2" t="inlineStr">
        <is>
          <t>NPM1300-CAAA-R7</t>
        </is>
      </c>
      <c r="G41" s="2" t="inlineStr">
        <is>
          <t>WLCSP-35(2.4x3.1) Power Management - Specialized ROHS</t>
        </is>
      </c>
      <c r="H41" s="2" t="inlineStr">
        <is>
          <t>WLCSP-35(2.4x3.1)</t>
        </is>
      </c>
      <c r="I41" s="2" t="inlineStr">
        <is>
          <t>Extended</t>
        </is>
      </c>
      <c r="J41" s="2" t="inlineStr">
        <is>
          <t>282</t>
        </is>
      </c>
      <c r="K41" s="2" t="inlineStr">
        <is>
          <t>1</t>
        </is>
      </c>
      <c r="L41" s="2" t="inlineStr">
        <is>
          <t>1500</t>
        </is>
      </c>
      <c r="M41" s="2" t="inlineStr">
        <is>
          <t>1</t>
        </is>
      </c>
      <c r="N41" s="2" t="inlineStr">
        <is>
          <t>1</t>
        </is>
      </c>
      <c r="O41" s="2" t="inlineStr">
        <is>
          <t>2.5632</t>
        </is>
      </c>
      <c r="P41" s="2" t="inlineStr">
        <is>
          <t>2.5632</t>
        </is>
      </c>
      <c r="Q41" s="2" t="inlineStr"/>
    </row>
    <row r="42">
      <c r="A42" s="2" t="inlineStr">
        <is>
          <t>U4</t>
        </is>
      </c>
      <c r="B42" s="2" t="inlineStr">
        <is>
          <t>BMA400</t>
        </is>
      </c>
      <c r="C42" s="2" t="inlineStr">
        <is>
          <t>easyeda2kicad:LGA-12_L2.0-W2.0-P0.50-BL</t>
        </is>
      </c>
      <c r="D42" s="2" t="inlineStr">
        <is>
          <t>C437655</t>
        </is>
      </c>
      <c r="E42" s="2" t="inlineStr">
        <is>
          <t>Bosch Sensortec</t>
        </is>
      </c>
      <c r="F42" s="2" t="inlineStr">
        <is>
          <t>BMA400</t>
        </is>
      </c>
      <c r="G42" s="2" t="inlineStr">
        <is>
          <t>-40℃~+85℃ 1.71V~3.6V 12bit 160nA 1KB Accelerometer SPI、I2C X,Y,Z ±16g LGA-12(2x2) Accelerometers ROHS</t>
        </is>
      </c>
      <c r="H42" s="2" t="inlineStr">
        <is>
          <t>LGA-12(2x2)</t>
        </is>
      </c>
      <c r="I42" s="2" t="inlineStr">
        <is>
          <t>Extended</t>
        </is>
      </c>
      <c r="J42" s="2" t="inlineStr">
        <is>
          <t>5407</t>
        </is>
      </c>
      <c r="K42" s="2" t="inlineStr">
        <is>
          <t>1</t>
        </is>
      </c>
      <c r="L42" s="2" t="inlineStr">
        <is>
          <t>10000</t>
        </is>
      </c>
      <c r="M42" s="2" t="inlineStr">
        <is>
          <t>1</t>
        </is>
      </c>
      <c r="N42" s="2" t="inlineStr">
        <is>
          <t>1</t>
        </is>
      </c>
      <c r="O42" s="2" t="inlineStr">
        <is>
          <t>2.3952</t>
        </is>
      </c>
      <c r="P42" s="2" t="inlineStr">
        <is>
          <t>2.3952</t>
        </is>
      </c>
      <c r="Q42" s="2" t="inlineStr"/>
    </row>
    <row r="43">
      <c r="A43" s="2" t="inlineStr">
        <is>
          <t>U6,U10</t>
        </is>
      </c>
      <c r="B43" s="2" t="inlineStr">
        <is>
          <t>BWU.FL-IPEX1</t>
        </is>
      </c>
      <c r="C43" s="2" t="inlineStr">
        <is>
          <t>easyeda2kicad:IPEX-SMD_BWIPX-1-001E</t>
        </is>
      </c>
      <c r="D43" s="2" t="inlineStr">
        <is>
          <t>C5137195</t>
        </is>
      </c>
      <c r="E43" s="2" t="inlineStr">
        <is>
          <t>BAT WIRELESS</t>
        </is>
      </c>
      <c r="F43" s="2" t="inlineStr">
        <is>
          <t>BWU.FL-IPEX1</t>
        </is>
      </c>
      <c r="G43" s="2" t="inlineStr">
        <is>
          <t>1 1.25mm 2mm 50Ω 6GHz Board Side IPEX Male Pin SMD Coaxial Connectors (RF) ROHS</t>
        </is>
      </c>
      <c r="H43" s="2" t="inlineStr">
        <is>
          <t>SMD</t>
        </is>
      </c>
      <c r="I43" s="2" t="inlineStr">
        <is>
          <t>Extended</t>
        </is>
      </c>
      <c r="J43" s="2" t="inlineStr">
        <is>
          <t>713336</t>
        </is>
      </c>
      <c r="K43" s="2" t="inlineStr">
        <is>
          <t>1</t>
        </is>
      </c>
      <c r="L43" s="2" t="inlineStr">
        <is>
          <t>5000</t>
        </is>
      </c>
      <c r="M43" s="2" t="inlineStr">
        <is>
          <t>2</t>
        </is>
      </c>
      <c r="N43" s="2" t="inlineStr">
        <is>
          <t>2</t>
        </is>
      </c>
      <c r="O43" s="2" t="inlineStr">
        <is>
          <t>0.0398</t>
        </is>
      </c>
      <c r="P43" s="2" t="inlineStr">
        <is>
          <t>0.0796</t>
        </is>
      </c>
      <c r="Q43" s="2" t="inlineStr"/>
    </row>
    <row r="44">
      <c r="A44" s="2" t="inlineStr">
        <is>
          <t>U7</t>
        </is>
      </c>
      <c r="B44" s="2" t="inlineStr">
        <is>
          <t>AN6520-245</t>
        </is>
      </c>
      <c r="C44" s="2" t="inlineStr">
        <is>
          <t>easyeda2kicad:ANT-SMD_L6.5-W2.0</t>
        </is>
      </c>
      <c r="D44" s="2" t="inlineStr">
        <is>
          <t>C239238</t>
        </is>
      </c>
      <c r="E44" s="2" t="inlineStr">
        <is>
          <t>Rainsun microwave Tech</t>
        </is>
      </c>
      <c r="F44" s="2" t="inlineStr">
        <is>
          <t>AN6520-245</t>
        </is>
      </c>
      <c r="G44" s="2" t="inlineStr">
        <is>
          <t>-40℃~+85℃ 0.5dBi 1mm 2 2.2mm 2.45GHz 200MHz 3W 50Ω 6.5mm SMD Antennas ROHS</t>
        </is>
      </c>
      <c r="H44" s="2" t="inlineStr">
        <is>
          <t>SMD</t>
        </is>
      </c>
      <c r="I44" s="2" t="inlineStr">
        <is>
          <t>Extended</t>
        </is>
      </c>
      <c r="J44" s="2" t="inlineStr">
        <is>
          <t>1893</t>
        </is>
      </c>
      <c r="K44" s="2" t="inlineStr">
        <is>
          <t>1</t>
        </is>
      </c>
      <c r="L44" s="2" t="inlineStr">
        <is>
          <t>1500</t>
        </is>
      </c>
      <c r="M44" s="2" t="inlineStr">
        <is>
          <t>1</t>
        </is>
      </c>
      <c r="N44" s="2" t="inlineStr">
        <is>
          <t>1</t>
        </is>
      </c>
      <c r="O44" s="2" t="inlineStr">
        <is>
          <t>0.5734</t>
        </is>
      </c>
      <c r="P44" s="2" t="inlineStr">
        <is>
          <t>0.5734</t>
        </is>
      </c>
      <c r="Q44" s="2" t="inlineStr"/>
    </row>
    <row r="45">
      <c r="A45" s="2" t="inlineStr">
        <is>
          <t>U8</t>
        </is>
      </c>
      <c r="B45" s="2" t="inlineStr">
        <is>
          <t>SEN0348_CONN</t>
        </is>
      </c>
      <c r="C45" s="2" t="inlineStr">
        <is>
          <t>easyeda2kicad:CONN-SMD_SM06B-SRSS-TB-LF-SN</t>
        </is>
      </c>
      <c r="D45" s="2" t="inlineStr">
        <is>
          <t>C160405</t>
        </is>
      </c>
      <c r="E45" s="2" t="inlineStr">
        <is>
          <t>JST</t>
        </is>
      </c>
      <c r="F45" s="2" t="inlineStr">
        <is>
          <t>SM06B-SRSS-TB(LF)(SN)</t>
        </is>
      </c>
      <c r="G45" s="2" t="inlineStr">
        <is>
          <t>-25℃~+85℃ 1 1A 1mm 1x6P 2.9mm 4.32mm 50V 6 6P 8mm Auxiliary Solder Pin Copper alloy PA SH Surface Mount, Right Angle Tin UL94V-0 White SMD,P=1mm,卧贴 Wire To Board Connector ROHS</t>
        </is>
      </c>
      <c r="H45" s="2" t="inlineStr">
        <is>
          <t>SMD,P=1mm,Surface Mount，Right Angle</t>
        </is>
      </c>
      <c r="I45" s="2" t="inlineStr">
        <is>
          <t>Extended</t>
        </is>
      </c>
      <c r="J45" s="2" t="inlineStr">
        <is>
          <t>65576</t>
        </is>
      </c>
      <c r="K45" s="2" t="inlineStr">
        <is>
          <t>1</t>
        </is>
      </c>
      <c r="L45" s="2" t="inlineStr">
        <is>
          <t>3000</t>
        </is>
      </c>
      <c r="M45" s="2" t="inlineStr">
        <is>
          <t>1</t>
        </is>
      </c>
      <c r="N45" s="2" t="inlineStr">
        <is>
          <t>1</t>
        </is>
      </c>
      <c r="O45" s="2" t="inlineStr">
        <is>
          <t>0.2998</t>
        </is>
      </c>
      <c r="P45" s="2" t="inlineStr">
        <is>
          <t>0.2998</t>
        </is>
      </c>
      <c r="Q45" s="2" t="inlineStr"/>
    </row>
    <row r="46">
      <c r="A46" s="2" t="inlineStr">
        <is>
          <t>U9</t>
        </is>
      </c>
      <c r="B46" s="2" t="inlineStr">
        <is>
          <t>SM04B-SRSS-TB</t>
        </is>
      </c>
      <c r="C46" s="2" t="inlineStr">
        <is>
          <t>easyeda2kicad:CONN-SMD_4P-P1.00_SM04B-SRSS-TB-LF-SN</t>
        </is>
      </c>
      <c r="D46" s="2" t="inlineStr">
        <is>
          <t>C160404</t>
        </is>
      </c>
      <c r="E46" s="2" t="inlineStr">
        <is>
          <t>JST</t>
        </is>
      </c>
      <c r="F46" s="2" t="inlineStr">
        <is>
          <t>SM04B-SRSS-TB(LF)(SN)</t>
        </is>
      </c>
      <c r="G46" s="2" t="inlineStr">
        <is>
          <t>-25℃~+85℃ 1 1A 1mm 1x4P 2.9mm 4 4.32mm 4P 50V 6mm Auxiliary Solder Pin Copper alloy PA SH Surface Mount, Right Angle Tin UL94V-0 White SMD,P=1mm,卧贴 Wire To Board Connector ROHS</t>
        </is>
      </c>
      <c r="H46" s="2" t="inlineStr">
        <is>
          <t>SMD,P=1mm,Surface Mount，Right Angle</t>
        </is>
      </c>
      <c r="I46" s="2" t="inlineStr">
        <is>
          <t>Extended</t>
        </is>
      </c>
      <c r="J46" s="2" t="inlineStr">
        <is>
          <t>10055</t>
        </is>
      </c>
      <c r="K46" s="2" t="inlineStr">
        <is>
          <t>1</t>
        </is>
      </c>
      <c r="L46" s="2" t="inlineStr">
        <is>
          <t>3000</t>
        </is>
      </c>
      <c r="M46" s="2" t="inlineStr">
        <is>
          <t>1</t>
        </is>
      </c>
      <c r="N46" s="2" t="inlineStr">
        <is>
          <t>1</t>
        </is>
      </c>
      <c r="O46" s="2" t="inlineStr">
        <is>
          <t>0.2245</t>
        </is>
      </c>
      <c r="P46" s="2" t="inlineStr">
        <is>
          <t>0.2245</t>
        </is>
      </c>
      <c r="Q46" s="2" t="inlineStr">
        <is>
          <t>SMD JST-SH 1.0 mm 4-pin UART connector.</t>
        </is>
      </c>
    </row>
    <row r="47">
      <c r="A47" s="2" t="inlineStr">
        <is>
          <t>U11,U14</t>
        </is>
      </c>
      <c r="B47" s="2" t="inlineStr">
        <is>
          <t>HX PZ1.27-2x5P TP</t>
        </is>
      </c>
      <c r="C47" s="2" t="inlineStr">
        <is>
          <t>easyeda2kicad:HDR-SMD_10P-P1.27-V-M-R2-C5-LS5.5_1</t>
        </is>
      </c>
      <c r="D47" s="2" t="inlineStr">
        <is>
          <t>C41376037</t>
        </is>
      </c>
      <c r="E47" s="2" t="inlineStr">
        <is>
          <t>hanxia</t>
        </is>
      </c>
      <c r="F47" s="2" t="inlineStr">
        <is>
          <t>HX PZ1.27-2x5P TP</t>
        </is>
      </c>
      <c r="G47" s="2" t="inlineStr">
        <is>
          <t>-40℃~+105℃ 1.27mm 1.27mm 10P 1A 1mm 2 2x5P 4mm 500V Black Brass Gold Pin Header Surface Mount,Vertical SMD,P=1.27mm Pin Headers ROHS</t>
        </is>
      </c>
      <c r="H47" s="2" t="inlineStr">
        <is>
          <t>SMD,P=1.27mm</t>
        </is>
      </c>
      <c r="I47" s="2" t="inlineStr">
        <is>
          <t>Extended</t>
        </is>
      </c>
      <c r="J47" s="2" t="inlineStr">
        <is>
          <t>14553</t>
        </is>
      </c>
      <c r="K47" s="2" t="inlineStr">
        <is>
          <t>1</t>
        </is>
      </c>
      <c r="L47" s="2" t="inlineStr">
        <is>
          <t>1000</t>
        </is>
      </c>
      <c r="M47" s="2" t="inlineStr">
        <is>
          <t>2</t>
        </is>
      </c>
      <c r="N47" s="2" t="inlineStr">
        <is>
          <t>2</t>
        </is>
      </c>
      <c r="O47" s="2" t="inlineStr">
        <is>
          <t>0.096</t>
        </is>
      </c>
      <c r="P47" s="2" t="inlineStr">
        <is>
          <t>0.192</t>
        </is>
      </c>
      <c r="Q47" s="2" t="inlineStr">
        <is>
          <t>SMD 2x5 1.27 mm SWD header replacing through-hole header.</t>
        </is>
      </c>
    </row>
    <row r="48">
      <c r="A48" s="2" t="inlineStr">
        <is>
          <t>U12,U13</t>
        </is>
      </c>
      <c r="B48" s="2" t="inlineStr">
        <is>
          <t>MT3608</t>
        </is>
      </c>
      <c r="C48" s="2" t="inlineStr">
        <is>
          <t>easyeda2kicad:SOT-23-6_L2.9-W1.6-P0.95-LS2.8-BL</t>
        </is>
      </c>
      <c r="D48" s="2" t="inlineStr">
        <is>
          <t>C84817</t>
        </is>
      </c>
      <c r="E48" s="2" t="inlineStr">
        <is>
          <t>XI'AN Aerosemi Tech</t>
        </is>
      </c>
      <c r="F48" s="2" t="inlineStr">
        <is>
          <t>MT3608</t>
        </is>
      </c>
      <c r="G48" s="2" t="inlineStr">
        <is>
          <t>-40℃~+85℃ 1 1.2MHz 100uA、1.6mA 2A 2V~24V Adjustable Boost Boost Built-in No SOT-23-6 DC-DC Converters ROHS</t>
        </is>
      </c>
      <c r="H48" s="2" t="inlineStr">
        <is>
          <t>SOT-23-6</t>
        </is>
      </c>
      <c r="I48" s="2" t="inlineStr">
        <is>
          <t>Extended</t>
        </is>
      </c>
      <c r="J48" s="2" t="inlineStr">
        <is>
          <t>182603</t>
        </is>
      </c>
      <c r="K48" s="2" t="inlineStr">
        <is>
          <t>1</t>
        </is>
      </c>
      <c r="L48" s="2" t="inlineStr">
        <is>
          <t>3000</t>
        </is>
      </c>
      <c r="M48" s="2" t="inlineStr">
        <is>
          <t>2</t>
        </is>
      </c>
      <c r="N48" s="2" t="inlineStr">
        <is>
          <t>2</t>
        </is>
      </c>
      <c r="O48" s="2" t="inlineStr">
        <is>
          <t>0.08</t>
        </is>
      </c>
      <c r="P48" s="2" t="inlineStr">
        <is>
          <t>0.16</t>
        </is>
      </c>
      <c r="Q48" s="2" t="inlineStr"/>
    </row>
    <row r="49">
      <c r="A49" s="2" t="inlineStr">
        <is>
          <t>Y1</t>
        </is>
      </c>
      <c r="B49" s="2" t="inlineStr">
        <is>
          <t>32MHz</t>
        </is>
      </c>
      <c r="C49" s="2" t="inlineStr">
        <is>
          <t>easyeda2kicad:CRYSTAL-SMD_4P-L2.0-W1.6-BL</t>
        </is>
      </c>
      <c r="D49" s="2" t="inlineStr">
        <is>
          <t>C187794</t>
        </is>
      </c>
      <c r="E49" s="2" t="inlineStr">
        <is>
          <t>Seiko Epson</t>
        </is>
      </c>
      <c r="F49" s="2" t="inlineStr">
        <is>
          <t>Q22FA12800025</t>
        </is>
      </c>
      <c r="G49" s="2" t="inlineStr">
        <is>
          <t>-20℃~+75℃ 32MHz 60Ω 8pF Crystal Oscillator ±10ppm ±10ppm SMD2016-4P Crystals ROHS</t>
        </is>
      </c>
      <c r="H49" s="2" t="inlineStr">
        <is>
          <t>SMD2016-4P</t>
        </is>
      </c>
      <c r="I49" s="2" t="inlineStr">
        <is>
          <t>Extended</t>
        </is>
      </c>
      <c r="J49" s="2" t="inlineStr">
        <is>
          <t>14435</t>
        </is>
      </c>
      <c r="K49" s="2" t="inlineStr">
        <is>
          <t>1</t>
        </is>
      </c>
      <c r="L49" s="2" t="inlineStr">
        <is>
          <t>3000</t>
        </is>
      </c>
      <c r="M49" s="2" t="inlineStr">
        <is>
          <t>1</t>
        </is>
      </c>
      <c r="N49" s="2" t="inlineStr">
        <is>
          <t>1</t>
        </is>
      </c>
      <c r="O49" s="2" t="inlineStr">
        <is>
          <t>0.2321</t>
        </is>
      </c>
      <c r="P49" s="2" t="inlineStr">
        <is>
          <t>0.2321</t>
        </is>
      </c>
      <c r="Q49" s="2" t="inlineStr">
        <is>
          <t>32 MHz 2016 crystal, 8 pF load; verify against final nRF52840 load-cap calculation.</t>
        </is>
      </c>
    </row>
  </sheetData>
  <autoFilter ref="A1:Q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9" customWidth="1" min="1" max="1"/>
    <col width="10" customWidth="1" min="2" max="2"/>
    <col width="23" customWidth="1" min="3" max="3"/>
    <col width="55" customWidth="1" min="4" max="4"/>
    <col width="15" customWidth="1" min="5" max="5"/>
  </cols>
  <sheetData>
    <row r="1">
      <c r="A1" s="1" t="inlineStr">
        <is>
          <t>Designator</t>
        </is>
      </c>
      <c r="B1" s="1" t="inlineStr">
        <is>
          <t>Quantity</t>
        </is>
      </c>
      <c r="C1" s="1" t="inlineStr">
        <is>
          <t>Comment</t>
        </is>
      </c>
      <c r="D1" s="1" t="inlineStr">
        <is>
          <t>Footprint</t>
        </is>
      </c>
      <c r="E1" s="1" t="inlineStr">
        <is>
          <t>JLCPCB Part #</t>
        </is>
      </c>
    </row>
    <row r="2">
      <c r="A2" s="2" t="inlineStr">
        <is>
          <t>C1,C4,C6,C8,C12,C13,C14,C15,C29,C30,C31,C32,C33</t>
        </is>
      </c>
      <c r="B2" s="2" t="inlineStr">
        <is>
          <t>13</t>
        </is>
      </c>
      <c r="C2" s="2" t="inlineStr">
        <is>
          <t>100nF</t>
        </is>
      </c>
      <c r="D2" s="2" t="inlineStr">
        <is>
          <t>Capacitor_SMD:C_0402_1005Metric</t>
        </is>
      </c>
      <c r="E2" s="2" t="inlineStr">
        <is>
          <t>C307331</t>
        </is>
      </c>
    </row>
    <row r="3">
      <c r="A3" s="2" t="inlineStr">
        <is>
          <t>C2,C3,C5,C11,C24</t>
        </is>
      </c>
      <c r="B3" s="2" t="inlineStr">
        <is>
          <t>5</t>
        </is>
      </c>
      <c r="C3" s="2" t="inlineStr">
        <is>
          <t>1uF</t>
        </is>
      </c>
      <c r="D3" s="2" t="inlineStr">
        <is>
          <t>Capacitor_SMD:C_0402_1005Metric</t>
        </is>
      </c>
      <c r="E3" s="2" t="inlineStr">
        <is>
          <t>C52923</t>
        </is>
      </c>
    </row>
    <row r="4">
      <c r="A4" s="2" t="inlineStr">
        <is>
          <t>C7,C16,C18,C20,C21,C22,C23</t>
        </is>
      </c>
      <c r="B4" s="2" t="inlineStr">
        <is>
          <t>7</t>
        </is>
      </c>
      <c r="C4" s="2" t="inlineStr">
        <is>
          <t>10uF</t>
        </is>
      </c>
      <c r="D4" s="2" t="inlineStr">
        <is>
          <t>Capacitor_SMD:C_0805_2012Metric</t>
        </is>
      </c>
      <c r="E4" s="2" t="inlineStr">
        <is>
          <t>C15850</t>
        </is>
      </c>
    </row>
    <row r="5">
      <c r="A5" s="2" t="inlineStr">
        <is>
          <t>C17,C19</t>
        </is>
      </c>
      <c r="B5" s="2" t="inlineStr">
        <is>
          <t>2</t>
        </is>
      </c>
      <c r="C5" s="2" t="inlineStr">
        <is>
          <t>22u 25V</t>
        </is>
      </c>
      <c r="D5" s="2" t="inlineStr">
        <is>
          <t>Capacitor_SMD:C_1210_3225Metric</t>
        </is>
      </c>
      <c r="E5" s="2" t="inlineStr">
        <is>
          <t>C52306</t>
        </is>
      </c>
    </row>
    <row r="6">
      <c r="A6" s="2" t="inlineStr">
        <is>
          <t>C25</t>
        </is>
      </c>
      <c r="B6" s="2" t="inlineStr">
        <is>
          <t>1</t>
        </is>
      </c>
      <c r="C6" s="2" t="inlineStr">
        <is>
          <t>0.6pF</t>
        </is>
      </c>
      <c r="D6" s="2" t="inlineStr">
        <is>
          <t>Capacitor_SMD:C_0402_1005Metric</t>
        </is>
      </c>
      <c r="E6" s="2" t="inlineStr">
        <is>
          <t>C778333</t>
        </is>
      </c>
    </row>
    <row r="7">
      <c r="A7" s="2" t="inlineStr">
        <is>
          <t>C26</t>
        </is>
      </c>
      <c r="B7" s="2" t="inlineStr">
        <is>
          <t>1</t>
        </is>
      </c>
      <c r="C7" s="2" t="inlineStr">
        <is>
          <t>0.8pF</t>
        </is>
      </c>
      <c r="D7" s="2" t="inlineStr">
        <is>
          <t>Capacitor_SMD:C_0402_1005Metric</t>
        </is>
      </c>
      <c r="E7" s="2" t="inlineStr">
        <is>
          <t>C3875120</t>
        </is>
      </c>
    </row>
    <row r="8">
      <c r="A8" s="2" t="inlineStr">
        <is>
          <t>C27,C35</t>
        </is>
      </c>
      <c r="B8" s="2" t="inlineStr">
        <is>
          <t>2</t>
        </is>
      </c>
      <c r="C8" s="2" t="inlineStr">
        <is>
          <t>12pF</t>
        </is>
      </c>
      <c r="D8" s="2" t="inlineStr">
        <is>
          <t>Capacitor_SMD:C_0402_1005Metric</t>
        </is>
      </c>
      <c r="E8" s="2" t="inlineStr">
        <is>
          <t>C1547</t>
        </is>
      </c>
    </row>
    <row r="9">
      <c r="A9" s="2" t="inlineStr">
        <is>
          <t>CN1</t>
        </is>
      </c>
      <c r="B9" s="2" t="inlineStr">
        <is>
          <t>1</t>
        </is>
      </c>
      <c r="C9" s="2" t="inlineStr">
        <is>
          <t>B2B-PH-SM4-TB</t>
        </is>
      </c>
      <c r="D9" s="2" t="inlineStr">
        <is>
          <t>easyeda2kicad:CONN-SMD_B2B-PH-SM4-TB-LF-SN</t>
        </is>
      </c>
      <c r="E9" s="2" t="inlineStr">
        <is>
          <t>C160352</t>
        </is>
      </c>
    </row>
    <row r="10">
      <c r="A10" s="2" t="inlineStr">
        <is>
          <t>D1,D6,D7,D8,D9,D10,D11,D12</t>
        </is>
      </c>
      <c r="B10" s="2" t="inlineStr">
        <is>
          <t>8</t>
        </is>
      </c>
      <c r="C10" s="2" t="inlineStr">
        <is>
          <t>LED</t>
        </is>
      </c>
      <c r="D10" s="2" t="inlineStr">
        <is>
          <t>easyeda2kicad:LED-SMD_L3.0-W3.0_XL-3030UWC-1W-3V</t>
        </is>
      </c>
      <c r="E10" s="2" t="inlineStr">
        <is>
          <t>C2843891</t>
        </is>
      </c>
    </row>
    <row r="11">
      <c r="A11" s="2" t="inlineStr">
        <is>
          <t>D3</t>
        </is>
      </c>
      <c r="B11" s="2" t="inlineStr">
        <is>
          <t>1</t>
        </is>
      </c>
      <c r="C11" s="2" t="inlineStr">
        <is>
          <t>SP3012-04UTG</t>
        </is>
      </c>
      <c r="D11" s="2" t="inlineStr">
        <is>
          <t>easyeda2kicad:UDFN-10_L2.5-W1.0-P0.50-BL</t>
        </is>
      </c>
      <c r="E11" s="2" t="inlineStr">
        <is>
          <t>C151304</t>
        </is>
      </c>
    </row>
    <row r="12">
      <c r="A12" s="2" t="inlineStr">
        <is>
          <t>D5</t>
        </is>
      </c>
      <c r="B12" s="2" t="inlineStr">
        <is>
          <t>1</t>
        </is>
      </c>
      <c r="C12" s="2" t="inlineStr">
        <is>
          <t>PRTR5V0U2X</t>
        </is>
      </c>
      <c r="D12" s="2" t="inlineStr">
        <is>
          <t>Package_TO_SOT_SMD:SOT-143</t>
        </is>
      </c>
      <c r="E12" s="2" t="inlineStr">
        <is>
          <t>C2827688</t>
        </is>
      </c>
    </row>
    <row r="13">
      <c r="A13" s="2" t="inlineStr">
        <is>
          <t>D13,D14,D15</t>
        </is>
      </c>
      <c r="B13" s="2" t="inlineStr">
        <is>
          <t>3</t>
        </is>
      </c>
      <c r="C13" s="2" t="inlineStr">
        <is>
          <t>SS34_C8678</t>
        </is>
      </c>
      <c r="D13" s="2" t="inlineStr">
        <is>
          <t>easyeda2kicad:SMA_L4.3-W2.6-LS5.2-RD</t>
        </is>
      </c>
      <c r="E13" s="2" t="inlineStr">
        <is>
          <t>C8678</t>
        </is>
      </c>
    </row>
    <row r="14">
      <c r="A14" s="2" t="inlineStr">
        <is>
          <t>J1</t>
        </is>
      </c>
      <c r="B14" s="2" t="inlineStr">
        <is>
          <t>1</t>
        </is>
      </c>
      <c r="C14" s="2" t="inlineStr">
        <is>
          <t>XH-2P-SMD</t>
        </is>
      </c>
      <c r="D14" s="2" t="inlineStr">
        <is>
          <t>easyeda2kicad:CONN-SMD_2P-P2.54_XH2.54-2AB</t>
        </is>
      </c>
      <c r="E14" s="2" t="inlineStr">
        <is>
          <t>C146125</t>
        </is>
      </c>
    </row>
    <row r="15">
      <c r="A15" s="2" t="inlineStr">
        <is>
          <t>J2</t>
        </is>
      </c>
      <c r="B15" s="2" t="inlineStr">
        <is>
          <t>1</t>
        </is>
      </c>
      <c r="C15" s="2" t="inlineStr">
        <is>
          <t>2.54-3P-LT</t>
        </is>
      </c>
      <c r="D15" s="2" t="inlineStr">
        <is>
          <t>easyeda2kicad:CONN-SMD_2.54-3P-LT</t>
        </is>
      </c>
      <c r="E15" s="2" t="inlineStr">
        <is>
          <t>C2681544</t>
        </is>
      </c>
    </row>
    <row r="16">
      <c r="A16" s="2" t="inlineStr">
        <is>
          <t>J3</t>
        </is>
      </c>
      <c r="B16" s="2" t="inlineStr">
        <is>
          <t>1</t>
        </is>
      </c>
      <c r="C16" s="2" t="inlineStr">
        <is>
          <t>SIM_Card</t>
        </is>
      </c>
      <c r="D16" s="2" t="inlineStr">
        <is>
          <t>easyeda2kicad:SIM-SMD_SMN-303</t>
        </is>
      </c>
      <c r="E16" s="2" t="inlineStr">
        <is>
          <t>C266888</t>
        </is>
      </c>
    </row>
    <row r="17">
      <c r="A17" s="2" t="inlineStr">
        <is>
          <t>L2,L3</t>
        </is>
      </c>
      <c r="B17" s="2" t="inlineStr">
        <is>
          <t>2</t>
        </is>
      </c>
      <c r="C17" s="2" t="inlineStr">
        <is>
          <t>10uH</t>
        </is>
      </c>
      <c r="D17" s="2" t="inlineStr">
        <is>
          <t>easyeda2kicad:IND-SMD_L4.0-W4.0</t>
        </is>
      </c>
      <c r="E17" s="2" t="inlineStr">
        <is>
          <t>C2849472</t>
        </is>
      </c>
    </row>
    <row r="18">
      <c r="A18" s="2" t="inlineStr">
        <is>
          <t>L4,L5</t>
        </is>
      </c>
      <c r="B18" s="2" t="inlineStr">
        <is>
          <t>2</t>
        </is>
      </c>
      <c r="C18" s="2" t="inlineStr">
        <is>
          <t>2.2uH</t>
        </is>
      </c>
      <c r="D18" s="2" t="inlineStr">
        <is>
          <t>easyeda2kicad:IND-SMD_L4.0-W4.0_NRS4018T</t>
        </is>
      </c>
      <c r="E18" s="2" t="inlineStr">
        <is>
          <t>C92959</t>
        </is>
      </c>
    </row>
    <row r="19">
      <c r="A19" s="2" t="inlineStr">
        <is>
          <t>L6</t>
        </is>
      </c>
      <c r="B19" s="2" t="inlineStr">
        <is>
          <t>1</t>
        </is>
      </c>
      <c r="C19" s="2" t="inlineStr">
        <is>
          <t>4.7nH</t>
        </is>
      </c>
      <c r="D19" s="2" t="inlineStr">
        <is>
          <t>easyeda2kicad:L0402-R-RD</t>
        </is>
      </c>
      <c r="E19" s="2" t="inlineStr">
        <is>
          <t>C86065</t>
        </is>
      </c>
    </row>
    <row r="20">
      <c r="A20" s="2" t="inlineStr">
        <is>
          <t>LED1,LED2</t>
        </is>
      </c>
      <c r="B20" s="2" t="inlineStr">
        <is>
          <t>2</t>
        </is>
      </c>
      <c r="C20" s="2" t="inlineStr">
        <is>
          <t>19-237/R6GHBHC-A01/2T</t>
        </is>
      </c>
      <c r="D20" s="2" t="inlineStr">
        <is>
          <t>easyeda2kicad:LED-ARRAY-SMD_4P-L1.6-W1.6-BL_1</t>
        </is>
      </c>
      <c r="E20" s="2" t="inlineStr">
        <is>
          <t>C60105</t>
        </is>
      </c>
    </row>
    <row r="21">
      <c r="A21" s="2" t="inlineStr">
        <is>
          <t>P1</t>
        </is>
      </c>
      <c r="B21" s="2" t="inlineStr">
        <is>
          <t>1</t>
        </is>
      </c>
      <c r="C21" s="2" t="inlineStr">
        <is>
          <t>USB_C_Plug_USB2.0</t>
        </is>
      </c>
      <c r="D21" s="2" t="inlineStr">
        <is>
          <t>easyeda2kicad:TYPE-C-SMD_TYPE-C-6P_1</t>
        </is>
      </c>
      <c r="E21" s="2" t="inlineStr">
        <is>
          <t>C456012</t>
        </is>
      </c>
    </row>
    <row r="22">
      <c r="A22" s="2" t="inlineStr">
        <is>
          <t>Q1,Q2,Q4</t>
        </is>
      </c>
      <c r="B22" s="2" t="inlineStr">
        <is>
          <t>3</t>
        </is>
      </c>
      <c r="C22" s="2" t="inlineStr">
        <is>
          <t>BSS84</t>
        </is>
      </c>
      <c r="D22" s="2" t="inlineStr">
        <is>
          <t>Package_TO_SOT_SMD:SOT-23</t>
        </is>
      </c>
      <c r="E22" s="2" t="inlineStr">
        <is>
          <t>C3018484</t>
        </is>
      </c>
    </row>
    <row r="23">
      <c r="A23" s="2" t="inlineStr">
        <is>
          <t>Q3,Q5,Q6</t>
        </is>
      </c>
      <c r="B23" s="2" t="inlineStr">
        <is>
          <t>3</t>
        </is>
      </c>
      <c r="C23" s="2" t="inlineStr">
        <is>
          <t>2N7002</t>
        </is>
      </c>
      <c r="D23" s="2" t="inlineStr">
        <is>
          <t>Package_TO_SOT_SMD:SOT-23</t>
        </is>
      </c>
      <c r="E23" s="2" t="inlineStr">
        <is>
          <t>C8545</t>
        </is>
      </c>
    </row>
    <row r="24">
      <c r="A24" s="2" t="inlineStr">
        <is>
          <t>R1</t>
        </is>
      </c>
      <c r="B24" s="2" t="inlineStr">
        <is>
          <t>1</t>
        </is>
      </c>
      <c r="C24" s="2" t="inlineStr">
        <is>
          <t>47k</t>
        </is>
      </c>
      <c r="D24" s="2" t="inlineStr">
        <is>
          <t>Resistor_SMD:R_0402_1005Metric</t>
        </is>
      </c>
      <c r="E24" s="2" t="inlineStr">
        <is>
          <t>C25792</t>
        </is>
      </c>
    </row>
    <row r="25">
      <c r="A25" s="2" t="inlineStr">
        <is>
          <t>R2</t>
        </is>
      </c>
      <c r="B25" s="2" t="inlineStr">
        <is>
          <t>1</t>
        </is>
      </c>
      <c r="C25" s="2" t="inlineStr">
        <is>
          <t>150k</t>
        </is>
      </c>
      <c r="D25" s="2" t="inlineStr">
        <is>
          <t>Resistor_SMD:R_0402_1005Metric</t>
        </is>
      </c>
      <c r="E25" s="2" t="inlineStr">
        <is>
          <t>C22369540</t>
        </is>
      </c>
    </row>
    <row r="26">
      <c r="A26" s="2" t="inlineStr">
        <is>
          <t>R3,R4,R20,R22</t>
        </is>
      </c>
      <c r="B26" s="2" t="inlineStr">
        <is>
          <t>4</t>
        </is>
      </c>
      <c r="C26" s="2" t="inlineStr">
        <is>
          <t>10k</t>
        </is>
      </c>
      <c r="D26" s="2" t="inlineStr">
        <is>
          <t>Resistor_SMD:R_0402_1005Metric</t>
        </is>
      </c>
      <c r="E26" s="2" t="inlineStr">
        <is>
          <t>C49330233</t>
        </is>
      </c>
    </row>
    <row r="27">
      <c r="A27" s="2" t="inlineStr">
        <is>
          <t>R5,R6,R28</t>
        </is>
      </c>
      <c r="B27" s="2" t="inlineStr">
        <is>
          <t>3</t>
        </is>
      </c>
      <c r="C27" s="2" t="inlineStr">
        <is>
          <t>330</t>
        </is>
      </c>
      <c r="D27" s="2" t="inlineStr">
        <is>
          <t>Resistor_SMD:R_0402_1005Metric</t>
        </is>
      </c>
      <c r="E27" s="2" t="inlineStr">
        <is>
          <t>C25104</t>
        </is>
      </c>
    </row>
    <row r="28">
      <c r="A28" s="2" t="inlineStr">
        <is>
          <t>R7,R8,R9,R10,R11,R12,R13,R14</t>
        </is>
      </c>
      <c r="B28" s="2" t="inlineStr">
        <is>
          <t>8</t>
        </is>
      </c>
      <c r="C28" s="2" t="inlineStr">
        <is>
          <t>4.7</t>
        </is>
      </c>
      <c r="D28" s="2" t="inlineStr">
        <is>
          <t>Resistor_SMD:R_0402_1005Metric</t>
        </is>
      </c>
      <c r="E28" s="2" t="inlineStr">
        <is>
          <t>C25169</t>
        </is>
      </c>
    </row>
    <row r="29">
      <c r="A29" s="2" t="inlineStr">
        <is>
          <t>R15</t>
        </is>
      </c>
      <c r="B29" s="2" t="inlineStr">
        <is>
          <t>1</t>
        </is>
      </c>
      <c r="C29" s="2" t="inlineStr">
        <is>
          <t>5.1k</t>
        </is>
      </c>
      <c r="D29" s="2" t="inlineStr">
        <is>
          <t>Resistor_SMD:R_0402_1005Metric</t>
        </is>
      </c>
      <c r="E29" s="2" t="inlineStr">
        <is>
          <t>C25905</t>
        </is>
      </c>
    </row>
    <row r="30">
      <c r="A30" s="2" t="inlineStr">
        <is>
          <t>R16,R17</t>
        </is>
      </c>
      <c r="B30" s="2" t="inlineStr">
        <is>
          <t>2</t>
        </is>
      </c>
      <c r="C30" s="2" t="inlineStr">
        <is>
          <t>22R</t>
        </is>
      </c>
      <c r="D30" s="2" t="inlineStr">
        <is>
          <t>Resistor_SMD:R_0402_1005Metric</t>
        </is>
      </c>
      <c r="E30" s="2" t="inlineStr">
        <is>
          <t>C100318</t>
        </is>
      </c>
    </row>
    <row r="31">
      <c r="A31" s="2" t="inlineStr">
        <is>
          <t>R18,R23,R24</t>
        </is>
      </c>
      <c r="B31" s="2" t="inlineStr">
        <is>
          <t>3</t>
        </is>
      </c>
      <c r="C31" s="2" t="inlineStr">
        <is>
          <t>100R</t>
        </is>
      </c>
      <c r="D31" s="2" t="inlineStr">
        <is>
          <t>Resistor_SMD:R_0402_1005Metric</t>
        </is>
      </c>
      <c r="E31" s="2" t="inlineStr">
        <is>
          <t>C25076</t>
        </is>
      </c>
    </row>
    <row r="32">
      <c r="A32" s="2" t="inlineStr">
        <is>
          <t>R19</t>
        </is>
      </c>
      <c r="B32" s="2" t="inlineStr">
        <is>
          <t>1</t>
        </is>
      </c>
      <c r="C32" s="2" t="inlineStr">
        <is>
          <t>191k</t>
        </is>
      </c>
      <c r="D32" s="2" t="inlineStr">
        <is>
          <t>Resistor_SMD:R_0402_1005Metric</t>
        </is>
      </c>
      <c r="E32" s="2" t="inlineStr">
        <is>
          <t>C159084</t>
        </is>
      </c>
    </row>
    <row r="33">
      <c r="A33" s="2" t="inlineStr">
        <is>
          <t>R21</t>
        </is>
      </c>
      <c r="B33" s="2" t="inlineStr">
        <is>
          <t>1</t>
        </is>
      </c>
      <c r="C33" s="2" t="inlineStr">
        <is>
          <t>240k</t>
        </is>
      </c>
      <c r="D33" s="2" t="inlineStr">
        <is>
          <t>Resistor_SMD:R_0402_1005Metric</t>
        </is>
      </c>
      <c r="E33" s="2" t="inlineStr">
        <is>
          <t>C64043</t>
        </is>
      </c>
    </row>
    <row r="34">
      <c r="A34" s="2" t="inlineStr">
        <is>
          <t>R25</t>
        </is>
      </c>
      <c r="B34" s="2" t="inlineStr">
        <is>
          <t>1</t>
        </is>
      </c>
      <c r="C34" s="2" t="inlineStr">
        <is>
          <t>100k</t>
        </is>
      </c>
      <c r="D34" s="2" t="inlineStr">
        <is>
          <t>Resistor_SMD:R_0402_1005Metric</t>
        </is>
      </c>
      <c r="E34" s="2" t="inlineStr">
        <is>
          <t>C144809</t>
        </is>
      </c>
    </row>
    <row r="35">
      <c r="A35" s="2" t="inlineStr">
        <is>
          <t>R26,R27</t>
        </is>
      </c>
      <c r="B35" s="2" t="inlineStr">
        <is>
          <t>2</t>
        </is>
      </c>
      <c r="C35" s="2" t="inlineStr">
        <is>
          <t>4.7k</t>
        </is>
      </c>
      <c r="D35" s="2" t="inlineStr">
        <is>
          <t>Resistor_SMD:R_0402_1005Metric</t>
        </is>
      </c>
      <c r="E35" s="2" t="inlineStr">
        <is>
          <t>C25900</t>
        </is>
      </c>
    </row>
    <row r="36">
      <c r="A36" s="2" t="inlineStr">
        <is>
          <t>RV1</t>
        </is>
      </c>
      <c r="B36" s="2" t="inlineStr">
        <is>
          <t>1</t>
        </is>
      </c>
      <c r="C36" s="2" t="inlineStr">
        <is>
          <t>10k</t>
        </is>
      </c>
      <c r="D36" s="2" t="inlineStr">
        <is>
          <t>easyeda2kicad:RES-ADJ-SMD_3P-L3.0-W3.8-P1.75-BR</t>
        </is>
      </c>
      <c r="E36" s="2" t="inlineStr">
        <is>
          <t>C719176</t>
        </is>
      </c>
    </row>
    <row r="37">
      <c r="A37" s="2" t="inlineStr">
        <is>
          <t>SW1</t>
        </is>
      </c>
      <c r="B37" s="2" t="inlineStr">
        <is>
          <t>1</t>
        </is>
      </c>
      <c r="C37" s="2" t="inlineStr">
        <is>
          <t>SW_Push</t>
        </is>
      </c>
      <c r="D37" s="2" t="inlineStr">
        <is>
          <t>easyeda2kicad:KEY-SMD_4P-L4.2-W3.2-P2.20-LS4.6</t>
        </is>
      </c>
      <c r="E37" s="2" t="inlineStr">
        <is>
          <t>C139797</t>
        </is>
      </c>
    </row>
    <row r="38">
      <c r="A38" s="2" t="inlineStr">
        <is>
          <t>TH1</t>
        </is>
      </c>
      <c r="B38" s="2" t="inlineStr">
        <is>
          <t>1</t>
        </is>
      </c>
      <c r="C38" s="2" t="inlineStr">
        <is>
          <t>Thermistor</t>
        </is>
      </c>
      <c r="D38" s="2" t="inlineStr">
        <is>
          <t>Resistor_SMD:R_0402_1005Metric</t>
        </is>
      </c>
      <c r="E38" s="2" t="inlineStr">
        <is>
          <t>C77131</t>
        </is>
      </c>
    </row>
    <row r="39">
      <c r="A39" s="2" t="inlineStr">
        <is>
          <t>U1</t>
        </is>
      </c>
      <c r="B39" s="2" t="inlineStr">
        <is>
          <t>1</t>
        </is>
      </c>
      <c r="C39" s="2" t="inlineStr">
        <is>
          <t>nRF52840</t>
        </is>
      </c>
      <c r="D39" s="2" t="inlineStr">
        <is>
          <t>Package_DFN_QFN:Nordic_AQFN-73-1EP_7x7mm_P0.5mm</t>
        </is>
      </c>
      <c r="E39" s="2" t="inlineStr">
        <is>
          <t>C190794</t>
        </is>
      </c>
    </row>
    <row r="40">
      <c r="A40" s="2" t="inlineStr">
        <is>
          <t>U2</t>
        </is>
      </c>
      <c r="B40" s="2" t="inlineStr">
        <is>
          <t>1</t>
        </is>
      </c>
      <c r="C40" s="2" t="inlineStr">
        <is>
          <t>NRF9151-LACA-R7</t>
        </is>
      </c>
      <c r="D40" s="2" t="inlineStr">
        <is>
          <t>easyeda2kicad:LGA-113_L12.1-W11.1_NRF9151-LACA-R7</t>
        </is>
      </c>
      <c r="E40" s="2" t="inlineStr">
        <is>
          <t>C22397843</t>
        </is>
      </c>
    </row>
    <row r="41">
      <c r="A41" s="2" t="inlineStr">
        <is>
          <t>U3</t>
        </is>
      </c>
      <c r="B41" s="2" t="inlineStr">
        <is>
          <t>1</t>
        </is>
      </c>
      <c r="C41" s="2" t="inlineStr">
        <is>
          <t>NPM1300</t>
        </is>
      </c>
      <c r="D41" s="2" t="inlineStr">
        <is>
          <t>easyeda2kicad:BGA-35_L3.1-W2.4-R5-C7-P0.42_NPM1300-CAAA-R</t>
        </is>
      </c>
      <c r="E41" s="2" t="inlineStr">
        <is>
          <t>C25346894</t>
        </is>
      </c>
    </row>
    <row r="42">
      <c r="A42" s="2" t="inlineStr">
        <is>
          <t>U4</t>
        </is>
      </c>
      <c r="B42" s="2" t="inlineStr">
        <is>
          <t>1</t>
        </is>
      </c>
      <c r="C42" s="2" t="inlineStr">
        <is>
          <t>BMA400</t>
        </is>
      </c>
      <c r="D42" s="2" t="inlineStr">
        <is>
          <t>easyeda2kicad:LGA-12_L2.0-W2.0-P0.50-BL</t>
        </is>
      </c>
      <c r="E42" s="2" t="inlineStr">
        <is>
          <t>C437655</t>
        </is>
      </c>
    </row>
    <row r="43">
      <c r="A43" s="2" t="inlineStr">
        <is>
          <t>U6,U10</t>
        </is>
      </c>
      <c r="B43" s="2" t="inlineStr">
        <is>
          <t>2</t>
        </is>
      </c>
      <c r="C43" s="2" t="inlineStr">
        <is>
          <t>BWU.FL-IPEX1</t>
        </is>
      </c>
      <c r="D43" s="2" t="inlineStr">
        <is>
          <t>easyeda2kicad:IPEX-SMD_BWIPX-1-001E</t>
        </is>
      </c>
      <c r="E43" s="2" t="inlineStr">
        <is>
          <t>C5137195</t>
        </is>
      </c>
    </row>
    <row r="44">
      <c r="A44" s="2" t="inlineStr">
        <is>
          <t>U7</t>
        </is>
      </c>
      <c r="B44" s="2" t="inlineStr">
        <is>
          <t>1</t>
        </is>
      </c>
      <c r="C44" s="2" t="inlineStr">
        <is>
          <t>AN6520-245</t>
        </is>
      </c>
      <c r="D44" s="2" t="inlineStr">
        <is>
          <t>easyeda2kicad:ANT-SMD_L6.5-W2.0</t>
        </is>
      </c>
      <c r="E44" s="2" t="inlineStr">
        <is>
          <t>C239238</t>
        </is>
      </c>
    </row>
    <row r="45">
      <c r="A45" s="2" t="inlineStr">
        <is>
          <t>U8</t>
        </is>
      </c>
      <c r="B45" s="2" t="inlineStr">
        <is>
          <t>1</t>
        </is>
      </c>
      <c r="C45" s="2" t="inlineStr">
        <is>
          <t>SEN0348_CONN</t>
        </is>
      </c>
      <c r="D45" s="2" t="inlineStr">
        <is>
          <t>easyeda2kicad:CONN-SMD_SM06B-SRSS-TB-LF-SN</t>
        </is>
      </c>
      <c r="E45" s="2" t="inlineStr">
        <is>
          <t>C160405</t>
        </is>
      </c>
    </row>
    <row r="46">
      <c r="A46" s="2" t="inlineStr">
        <is>
          <t>U9</t>
        </is>
      </c>
      <c r="B46" s="2" t="inlineStr">
        <is>
          <t>1</t>
        </is>
      </c>
      <c r="C46" s="2" t="inlineStr">
        <is>
          <t>SM04B-SRSS-TB</t>
        </is>
      </c>
      <c r="D46" s="2" t="inlineStr">
        <is>
          <t>easyeda2kicad:CONN-SMD_4P-P1.00_SM04B-SRSS-TB-LF-SN</t>
        </is>
      </c>
      <c r="E46" s="2" t="inlineStr">
        <is>
          <t>C160404</t>
        </is>
      </c>
    </row>
    <row r="47">
      <c r="A47" s="2" t="inlineStr">
        <is>
          <t>U11,U14</t>
        </is>
      </c>
      <c r="B47" s="2" t="inlineStr">
        <is>
          <t>2</t>
        </is>
      </c>
      <c r="C47" s="2" t="inlineStr">
        <is>
          <t>HX PZ1.27-2x5P TP</t>
        </is>
      </c>
      <c r="D47" s="2" t="inlineStr">
        <is>
          <t>easyeda2kicad:HDR-SMD_10P-P1.27-V-M-R2-C5-LS5.5_1</t>
        </is>
      </c>
      <c r="E47" s="2" t="inlineStr">
        <is>
          <t>C41376037</t>
        </is>
      </c>
    </row>
    <row r="48">
      <c r="A48" s="2" t="inlineStr">
        <is>
          <t>U12,U13</t>
        </is>
      </c>
      <c r="B48" s="2" t="inlineStr">
        <is>
          <t>2</t>
        </is>
      </c>
      <c r="C48" s="2" t="inlineStr">
        <is>
          <t>MT3608</t>
        </is>
      </c>
      <c r="D48" s="2" t="inlineStr">
        <is>
          <t>easyeda2kicad:SOT-23-6_L2.9-W1.6-P0.95-LS2.8-BL</t>
        </is>
      </c>
      <c r="E48" s="2" t="inlineStr">
        <is>
          <t>C84817</t>
        </is>
      </c>
    </row>
    <row r="49">
      <c r="A49" s="2" t="inlineStr">
        <is>
          <t>Y1</t>
        </is>
      </c>
      <c r="B49" s="2" t="inlineStr">
        <is>
          <t>1</t>
        </is>
      </c>
      <c r="C49" s="2" t="inlineStr">
        <is>
          <t>32MHz</t>
        </is>
      </c>
      <c r="D49" s="2" t="inlineStr">
        <is>
          <t>easyeda2kicad:CRYSTAL-SMD_4P-L2.0-W1.6-BL</t>
        </is>
      </c>
      <c r="E49" s="2" t="inlineStr">
        <is>
          <t>C187794</t>
        </is>
      </c>
    </row>
  </sheetData>
  <autoFilter ref="A1:E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3" customWidth="1" min="3" max="3"/>
    <col width="55" customWidth="1" min="4" max="4"/>
    <col width="12" customWidth="1" min="5" max="5"/>
    <col width="10" customWidth="1" min="6" max="6"/>
    <col width="13" customWidth="1" min="7" max="7"/>
  </cols>
  <sheetData>
    <row r="1">
      <c r="A1" s="1" t="inlineStr">
        <is>
          <t>Parts Type</t>
        </is>
      </c>
      <c r="B1" s="1" t="inlineStr">
        <is>
          <t>JLCPCB Part #</t>
        </is>
      </c>
      <c r="C1" s="1" t="inlineStr">
        <is>
          <t>MFR Part #</t>
        </is>
      </c>
      <c r="D1" s="1" t="inlineStr">
        <is>
          <t>Description</t>
        </is>
      </c>
      <c r="E1" s="1" t="inlineStr">
        <is>
          <t>Unit Price</t>
        </is>
      </c>
      <c r="F1" s="1" t="inlineStr">
        <is>
          <t>Qty</t>
        </is>
      </c>
      <c r="G1" s="1" t="inlineStr">
        <is>
          <t>Total Price</t>
        </is>
      </c>
    </row>
    <row r="2">
      <c r="A2" s="2" t="inlineStr">
        <is>
          <t>Basic</t>
        </is>
      </c>
      <c r="B2" s="2" t="inlineStr">
        <is>
          <t>C307331</t>
        </is>
      </c>
      <c r="C2" s="2" t="inlineStr">
        <is>
          <t>CL05B104KB54PNC</t>
        </is>
      </c>
      <c r="D2" s="2" t="inlineStr">
        <is>
          <t>100nF 50V X7R ±10% 0402 Multilayer Ceramic Capacitors MLCC - SMD/SMT ROHS</t>
        </is>
      </c>
      <c r="E2" s="2" t="inlineStr">
        <is>
          <t>0.0076</t>
        </is>
      </c>
      <c r="F2" s="2" t="inlineStr">
        <is>
          <t>13</t>
        </is>
      </c>
      <c r="G2" s="2" t="inlineStr">
        <is>
          <t>0.0988</t>
        </is>
      </c>
    </row>
    <row r="3">
      <c r="A3" s="2" t="inlineStr">
        <is>
          <t>Basic</t>
        </is>
      </c>
      <c r="B3" s="2" t="inlineStr">
        <is>
          <t>C52923</t>
        </is>
      </c>
      <c r="C3" s="2" t="inlineStr">
        <is>
          <t>CL05A105KA5NQNC</t>
        </is>
      </c>
      <c r="D3" s="2" t="inlineStr">
        <is>
          <t>1uF 25V X5R ±10% 0402 Multilayer Ceramic Capacitors MLCC - SMD/SMT ROHS</t>
        </is>
      </c>
      <c r="E3" s="2" t="inlineStr">
        <is>
          <t>0.0142</t>
        </is>
      </c>
      <c r="F3" s="2" t="inlineStr">
        <is>
          <t>5</t>
        </is>
      </c>
      <c r="G3" s="2" t="inlineStr">
        <is>
          <t>0.0710</t>
        </is>
      </c>
    </row>
    <row r="4">
      <c r="A4" s="2" t="inlineStr">
        <is>
          <t>Basic</t>
        </is>
      </c>
      <c r="B4" s="2" t="inlineStr">
        <is>
          <t>C15850</t>
        </is>
      </c>
      <c r="C4" s="2" t="inlineStr">
        <is>
          <t>CL21A106KAYNNNE</t>
        </is>
      </c>
      <c r="D4" s="2" t="inlineStr">
        <is>
          <t>10uF 25V X5R ±10% 0805 Multilayer Ceramic Capacitors MLCC - SMD/SMT ROHS</t>
        </is>
      </c>
      <c r="E4" s="2" t="inlineStr">
        <is>
          <t>0.0643</t>
        </is>
      </c>
      <c r="F4" s="2" t="inlineStr">
        <is>
          <t>7</t>
        </is>
      </c>
      <c r="G4" s="2" t="inlineStr">
        <is>
          <t>0.4501</t>
        </is>
      </c>
    </row>
    <row r="5">
      <c r="A5" s="2" t="inlineStr">
        <is>
          <t>Extended</t>
        </is>
      </c>
      <c r="B5" s="2" t="inlineStr">
        <is>
          <t>C52306</t>
        </is>
      </c>
      <c r="C5" s="2" t="inlineStr">
        <is>
          <t>CL32A226KAJNNNE</t>
        </is>
      </c>
      <c r="D5" s="2" t="inlineStr">
        <is>
          <t>22uF 25V X5R ±10% 1210 Multilayer Ceramic Capacitors MLCC - SMD/SMT ROHS</t>
        </is>
      </c>
      <c r="E5" s="2" t="inlineStr">
        <is>
          <t>0.1814</t>
        </is>
      </c>
      <c r="F5" s="2" t="inlineStr">
        <is>
          <t>2</t>
        </is>
      </c>
      <c r="G5" s="2" t="inlineStr">
        <is>
          <t>0.3628</t>
        </is>
      </c>
    </row>
    <row r="6">
      <c r="A6" s="2" t="inlineStr">
        <is>
          <t>Extended</t>
        </is>
      </c>
      <c r="B6" s="2" t="inlineStr">
        <is>
          <t>C778333</t>
        </is>
      </c>
      <c r="C6" s="2" t="inlineStr">
        <is>
          <t>C0402C0G0R6B500NTB</t>
        </is>
      </c>
      <c r="D6" s="2" t="inlineStr">
        <is>
          <t>0.6pF 50V C0G 0402 Multilayer Ceramic Capacitors MLCC - SMD/SMT ROHS</t>
        </is>
      </c>
      <c r="E6" s="2" t="inlineStr">
        <is>
          <t>0.0029</t>
        </is>
      </c>
      <c r="F6" s="2" t="inlineStr">
        <is>
          <t>1</t>
        </is>
      </c>
      <c r="G6" s="2" t="inlineStr">
        <is>
          <t>0.0029</t>
        </is>
      </c>
    </row>
    <row r="7">
      <c r="A7" s="2" t="inlineStr">
        <is>
          <t>Extended</t>
        </is>
      </c>
      <c r="B7" s="2" t="inlineStr">
        <is>
          <t>C3875120</t>
        </is>
      </c>
      <c r="C7" s="2" t="inlineStr">
        <is>
          <t>C0402C0G500-0R8BNP</t>
        </is>
      </c>
      <c r="D7" s="2" t="inlineStr">
        <is>
          <t>0.8pF 50V C0G 0402 Multilayer Ceramic Capacitors MLCC - SMD/SMT ROHS</t>
        </is>
      </c>
      <c r="E7" s="2" t="inlineStr">
        <is>
          <t>0.0105</t>
        </is>
      </c>
      <c r="F7" s="2" t="inlineStr">
        <is>
          <t>1</t>
        </is>
      </c>
      <c r="G7" s="2" t="inlineStr">
        <is>
          <t>0.0105</t>
        </is>
      </c>
    </row>
    <row r="8">
      <c r="A8" s="2" t="inlineStr">
        <is>
          <t>Basic</t>
        </is>
      </c>
      <c r="B8" s="2" t="inlineStr">
        <is>
          <t>C1547</t>
        </is>
      </c>
      <c r="C8" s="2" t="inlineStr">
        <is>
          <t>0402CG120J500NT</t>
        </is>
      </c>
      <c r="D8" s="2" t="inlineStr">
        <is>
          <t>12pF 50V C0G ±5% 0402 Multilayer Ceramic Capacitors MLCC - SMD/SMT ROHS</t>
        </is>
      </c>
      <c r="E8" s="2" t="inlineStr">
        <is>
          <t>0.0036</t>
        </is>
      </c>
      <c r="F8" s="2" t="inlineStr">
        <is>
          <t>2</t>
        </is>
      </c>
      <c r="G8" s="2" t="inlineStr">
        <is>
          <t>0.0072</t>
        </is>
      </c>
    </row>
    <row r="9">
      <c r="A9" s="2" t="inlineStr">
        <is>
          <t>Extended</t>
        </is>
      </c>
      <c r="B9" s="2" t="inlineStr">
        <is>
          <t>C160352</t>
        </is>
      </c>
      <c r="C9" s="2" t="inlineStr">
        <is>
          <t>B2B-PH-SM4-TB(LF)(SN)</t>
        </is>
      </c>
      <c r="D9" s="2" t="inlineStr">
        <is>
          <t>-25℃~+85℃ 1 100V 1x2P 2 2A 2P 2mm 6.6mm 7.95mm 7mm Auxiliary Solder Pin Beige Copper alloy PA PH Surface Mount,Vertical Tin UL94V-0 SMD,P=2mm Wire To Board Connector ROHS</t>
        </is>
      </c>
      <c r="E9" s="2" t="inlineStr">
        <is>
          <t>0.3586</t>
        </is>
      </c>
      <c r="F9" s="2" t="inlineStr">
        <is>
          <t>1</t>
        </is>
      </c>
      <c r="G9" s="2" t="inlineStr">
        <is>
          <t>0.3586</t>
        </is>
      </c>
    </row>
    <row r="10">
      <c r="A10" s="2" t="inlineStr">
        <is>
          <t>Extended</t>
        </is>
      </c>
      <c r="B10" s="2" t="inlineStr">
        <is>
          <t>C2843891</t>
        </is>
      </c>
      <c r="C10" s="2" t="inlineStr">
        <is>
          <t>XL-3030UWC-1W-3V</t>
        </is>
      </c>
      <c r="D10" s="2" t="inlineStr">
        <is>
          <t>-40℃~+85℃ 120° 1W 3.4V 350mA 6500K~7000K Discrete Diode Top-mount White Yellow Lens SMD3030-2P LED Indication - Discrete ROHS</t>
        </is>
      </c>
      <c r="E10" s="2" t="inlineStr">
        <is>
          <t>0.042</t>
        </is>
      </c>
      <c r="F10" s="2" t="inlineStr">
        <is>
          <t>8</t>
        </is>
      </c>
      <c r="G10" s="2" t="inlineStr">
        <is>
          <t>0.336</t>
        </is>
      </c>
    </row>
    <row r="11">
      <c r="A11" s="2" t="inlineStr">
        <is>
          <t>Extended</t>
        </is>
      </c>
      <c r="B11" s="2" t="inlineStr">
        <is>
          <t>C151304</t>
        </is>
      </c>
      <c r="C11" s="2" t="inlineStr">
        <is>
          <t>SP3012-04UTG</t>
        </is>
      </c>
      <c r="D11" s="2" t="inlineStr">
        <is>
          <t>-40℃~+125℃ 0.5pF 1.5uA 4A@8/20us 5V 8.4V ESD Four channels IEC 61000-4-2、IEC 61000-4-5、IEC 61000-4-4 UDFN-10(1x2.5) ESD and Surge Protection (TVS/ESD) ROHS</t>
        </is>
      </c>
      <c r="E11" s="2" t="inlineStr">
        <is>
          <t>0.2974</t>
        </is>
      </c>
      <c r="F11" s="2" t="inlineStr">
        <is>
          <t>1</t>
        </is>
      </c>
      <c r="G11" s="2" t="inlineStr">
        <is>
          <t>0.2974</t>
        </is>
      </c>
    </row>
    <row r="12">
      <c r="A12" s="2" t="inlineStr">
        <is>
          <t>Extended</t>
        </is>
      </c>
      <c r="B12" s="2" t="inlineStr">
        <is>
          <t>C2827688</t>
        </is>
      </c>
      <c r="C12" s="2" t="inlineStr">
        <is>
          <t>PRTR5V0U2X</t>
        </is>
      </c>
      <c r="D12" s="2" t="inlineStr">
        <is>
          <t>-55℃~+125℃ 0.3pF、0.8pF 100W 10V、15V 5V 6.5V 6A 80nA ESD IEC 61000-4-2、IEC 61000-4-5、IEC 61000-4-4 Three channels Unidirectional SOT-143 ESD and Surge Protection (TVS/ESD) ROHS</t>
        </is>
      </c>
      <c r="E12" s="2" t="inlineStr">
        <is>
          <t>0.0609</t>
        </is>
      </c>
      <c r="F12" s="2" t="inlineStr">
        <is>
          <t>1</t>
        </is>
      </c>
      <c r="G12" s="2" t="inlineStr">
        <is>
          <t>0.0609</t>
        </is>
      </c>
    </row>
    <row r="13">
      <c r="A13" s="2" t="inlineStr">
        <is>
          <t>Basic</t>
        </is>
      </c>
      <c r="B13" s="2" t="inlineStr">
        <is>
          <t>C8678</t>
        </is>
      </c>
      <c r="C13" s="2" t="inlineStr">
        <is>
          <t>SS34</t>
        </is>
      </c>
      <c r="D13" s="2" t="inlineStr">
        <is>
          <t>-55℃~+125℃ 3A 40V 500uA@40V 550mV@3A Independent SMA(DO-214AC) Schottky Diodes ROHS</t>
        </is>
      </c>
      <c r="E13" s="2" t="inlineStr">
        <is>
          <t>0.0301</t>
        </is>
      </c>
      <c r="F13" s="2" t="inlineStr">
        <is>
          <t>3</t>
        </is>
      </c>
      <c r="G13" s="2" t="inlineStr">
        <is>
          <t>0.0903</t>
        </is>
      </c>
    </row>
    <row r="14">
      <c r="A14" s="2" t="inlineStr">
        <is>
          <t>Extended</t>
        </is>
      </c>
      <c r="B14" s="2" t="inlineStr">
        <is>
          <t>C146125</t>
        </is>
      </c>
      <c r="C14" s="2" t="inlineStr">
        <is>
          <t>XH-2PVertical welding</t>
        </is>
      </c>
      <c r="D14" s="2" t="inlineStr">
        <is>
          <t>-25℃~+85℃ 1 12mm 1x2P 2 2.5mm 250V 2P 3A 6mm 7.8mm Beige LCP Phosphor bronze Surface Mount,Vertical Tin UL94V-0 XH SMD,P=2.5mm Wire To Board Connector ROHS</t>
        </is>
      </c>
      <c r="E14" s="2" t="inlineStr">
        <is>
          <t>0.0669</t>
        </is>
      </c>
      <c r="F14" s="2" t="inlineStr">
        <is>
          <t>1</t>
        </is>
      </c>
      <c r="G14" s="2" t="inlineStr">
        <is>
          <t>0.0669</t>
        </is>
      </c>
    </row>
    <row r="15">
      <c r="A15" s="2" t="inlineStr">
        <is>
          <t>Extended</t>
        </is>
      </c>
      <c r="B15" s="2" t="inlineStr">
        <is>
          <t>C2681544</t>
        </is>
      </c>
      <c r="C15" s="2" t="inlineStr">
        <is>
          <t>2.54-3P LT</t>
        </is>
      </c>
      <c r="D15" s="2" t="inlineStr">
        <is>
          <t>-25℃~+85℃ 1 1x3P 2.5mm 250V 3 3A 3P Beige Brass LCP Surface Mount,Vertical Tin UL94V-0 XH SMD,P=2.5mm Wire To Board Connector ROHS</t>
        </is>
      </c>
      <c r="E15" s="2" t="inlineStr">
        <is>
          <t>0.0814</t>
        </is>
      </c>
      <c r="F15" s="2" t="inlineStr">
        <is>
          <t>1</t>
        </is>
      </c>
      <c r="G15" s="2" t="inlineStr">
        <is>
          <t>0.0814</t>
        </is>
      </c>
    </row>
    <row r="16">
      <c r="A16" s="2" t="inlineStr">
        <is>
          <t>Extended</t>
        </is>
      </c>
      <c r="B16" s="2" t="inlineStr">
        <is>
          <t>C266888</t>
        </is>
      </c>
      <c r="C16" s="2" t="inlineStr">
        <is>
          <t>SMN-303</t>
        </is>
      </c>
      <c r="D16" s="2" t="inlineStr">
        <is>
          <t>-25℃~+85℃ 1.37mm Connector and Ejector Nano-SIM Card Push-Push With Card Detect SMD SIM Card Connectors ROHS</t>
        </is>
      </c>
      <c r="E16" s="2" t="inlineStr">
        <is>
          <t>0.4894</t>
        </is>
      </c>
      <c r="F16" s="2" t="inlineStr">
        <is>
          <t>1</t>
        </is>
      </c>
      <c r="G16" s="2" t="inlineStr">
        <is>
          <t>0.4894</t>
        </is>
      </c>
    </row>
    <row r="17">
      <c r="A17" s="2" t="inlineStr">
        <is>
          <t>Extended</t>
        </is>
      </c>
      <c r="B17" s="2" t="inlineStr">
        <is>
          <t>C2849472</t>
        </is>
      </c>
      <c r="C17" s="2" t="inlineStr">
        <is>
          <t>PNLS4030-100M 10UH</t>
        </is>
      </c>
      <c r="D17" s="2" t="inlineStr">
        <is>
          <t>10uH 120mΩ 2A 2A Magnetic Shielded Inductor ±20% SMD,4x4mm Power Inductors ROHS</t>
        </is>
      </c>
      <c r="E17" s="2" t="inlineStr">
        <is>
          <t>0.0521</t>
        </is>
      </c>
      <c r="F17" s="2" t="inlineStr">
        <is>
          <t>2</t>
        </is>
      </c>
      <c r="G17" s="2" t="inlineStr">
        <is>
          <t>0.1042</t>
        </is>
      </c>
    </row>
    <row r="18">
      <c r="A18" s="2" t="inlineStr">
        <is>
          <t>Extended</t>
        </is>
      </c>
      <c r="B18" s="2" t="inlineStr">
        <is>
          <t>C92959</t>
        </is>
      </c>
      <c r="C18" s="2" t="inlineStr">
        <is>
          <t>NRS4018T2R2MDGJ</t>
        </is>
      </c>
      <c r="D18" s="2" t="inlineStr">
        <is>
          <t>2.2A 2.2uH 3A 42mΩ ±20% SMD,4x4mm Power Inductors ROHS</t>
        </is>
      </c>
      <c r="E18" s="2" t="inlineStr">
        <is>
          <t>0.0886</t>
        </is>
      </c>
      <c r="F18" s="2" t="inlineStr">
        <is>
          <t>2</t>
        </is>
      </c>
      <c r="G18" s="2" t="inlineStr">
        <is>
          <t>0.1772</t>
        </is>
      </c>
    </row>
    <row r="19">
      <c r="A19" s="2" t="inlineStr">
        <is>
          <t>Extended</t>
        </is>
      </c>
      <c r="B19" s="2" t="inlineStr">
        <is>
          <t>C86065</t>
        </is>
      </c>
      <c r="C19" s="2" t="inlineStr">
        <is>
          <t>LQG15HS4N7S02D</t>
        </is>
      </c>
      <c r="D19" s="2" t="inlineStr">
        <is>
          <t>160mΩ 4.7nH 6GHz 700mA 8@100MHz Multilayer inductor 0402 Inductors (SMD) ROHS</t>
        </is>
      </c>
      <c r="E19" s="2" t="inlineStr">
        <is>
          <t>0.023</t>
        </is>
      </c>
      <c r="F19" s="2" t="inlineStr">
        <is>
          <t>1</t>
        </is>
      </c>
      <c r="G19" s="2" t="inlineStr">
        <is>
          <t>0.023</t>
        </is>
      </c>
    </row>
    <row r="20">
      <c r="A20" s="2" t="inlineStr">
        <is>
          <t>Extended</t>
        </is>
      </c>
      <c r="B20" s="2" t="inlineStr">
        <is>
          <t>C60105</t>
        </is>
      </c>
      <c r="C20" s="2" t="inlineStr">
        <is>
          <t>19-237/R6GHBHC-A01/2T</t>
        </is>
      </c>
      <c r="D20" s="2" t="inlineStr">
        <is>
          <t>120° Common Anode SMD-4P,1.6x1.6mm RGB LEDs ROHS</t>
        </is>
      </c>
      <c r="E20" s="2" t="inlineStr">
        <is>
          <t>0.0624</t>
        </is>
      </c>
      <c r="F20" s="2" t="inlineStr">
        <is>
          <t>2</t>
        </is>
      </c>
      <c r="G20" s="2" t="inlineStr">
        <is>
          <t>0.1248</t>
        </is>
      </c>
    </row>
    <row r="21">
      <c r="A21" s="2" t="inlineStr">
        <is>
          <t>Extended</t>
        </is>
      </c>
      <c r="B21" s="2" t="inlineStr">
        <is>
          <t>C456012</t>
        </is>
      </c>
      <c r="C21" s="2" t="inlineStr">
        <is>
          <t>TYPE-C 6P</t>
        </is>
      </c>
      <c r="D21" s="2" t="inlineStr">
        <is>
          <t>-40℃~+85℃ 1 3,000 Cycles 3A 5V 6P Black Female Surface Mount, Right Angle Type-C SMD USB Connectors ROHS</t>
        </is>
      </c>
      <c r="E21" s="2" t="inlineStr">
        <is>
          <t>0.0385</t>
        </is>
      </c>
      <c r="F21" s="2" t="inlineStr">
        <is>
          <t>1</t>
        </is>
      </c>
      <c r="G21" s="2" t="inlineStr">
        <is>
          <t>0.0385</t>
        </is>
      </c>
    </row>
    <row r="22">
      <c r="A22" s="2" t="inlineStr">
        <is>
          <t>Extended</t>
        </is>
      </c>
      <c r="B22" s="2" t="inlineStr">
        <is>
          <t>C3018484</t>
        </is>
      </c>
      <c r="C22" s="2" t="inlineStr">
        <is>
          <t>BSS84</t>
        </is>
      </c>
      <c r="D22" s="2" t="inlineStr">
        <is>
          <t>-55℃~+150℃ 1 P-Channel 10pF 10Ω@5V 130mA 225mW 2V 30pF 50V 5pF SOT-23 MOSFETs ROHS</t>
        </is>
      </c>
      <c r="E22" s="2" t="inlineStr">
        <is>
          <t>0.0223</t>
        </is>
      </c>
      <c r="F22" s="2" t="inlineStr">
        <is>
          <t>3</t>
        </is>
      </c>
      <c r="G22" s="2" t="inlineStr">
        <is>
          <t>0.0669</t>
        </is>
      </c>
    </row>
    <row r="23">
      <c r="A23" s="2" t="inlineStr">
        <is>
          <t>Basic</t>
        </is>
      </c>
      <c r="B23" s="2" t="inlineStr">
        <is>
          <t>C8545</t>
        </is>
      </c>
      <c r="C23" s="2" t="inlineStr">
        <is>
          <t>2N7002</t>
        </is>
      </c>
      <c r="D23" s="2" t="inlineStr">
        <is>
          <t>1 N-channel 115mA 2.5V 225mW 50pF 5pF 5Ω@10V 60V SOT-23 MOSFETs ROHS</t>
        </is>
      </c>
      <c r="E23" s="2" t="inlineStr">
        <is>
          <t>0.0154</t>
        </is>
      </c>
      <c r="F23" s="2" t="inlineStr">
        <is>
          <t>3</t>
        </is>
      </c>
      <c r="G23" s="2" t="inlineStr">
        <is>
          <t>0.0462</t>
        </is>
      </c>
    </row>
    <row r="24">
      <c r="A24" s="2" t="inlineStr">
        <is>
          <t>Basic</t>
        </is>
      </c>
      <c r="B24" s="2" t="inlineStr">
        <is>
          <t>C25792</t>
        </is>
      </c>
      <c r="C24" s="2" t="inlineStr">
        <is>
          <t>0402WGF4702TCE</t>
        </is>
      </c>
      <c r="D24" s="2" t="inlineStr">
        <is>
          <t>-55℃~+155℃ 47kΩ 50V 62.5mW Thick Film Resistor ±1% ±100ppm/℃ 0402 Chip Resistor - Surface Mount ROHS</t>
        </is>
      </c>
      <c r="E24" s="2" t="inlineStr">
        <is>
          <t>0.0012</t>
        </is>
      </c>
      <c r="F24" s="2" t="inlineStr">
        <is>
          <t>1</t>
        </is>
      </c>
      <c r="G24" s="2" t="inlineStr">
        <is>
          <t>0.0012</t>
        </is>
      </c>
    </row>
    <row r="25">
      <c r="A25" s="2" t="inlineStr">
        <is>
          <t>Extended</t>
        </is>
      </c>
      <c r="B25" s="2" t="inlineStr">
        <is>
          <t>C22369540</t>
        </is>
      </c>
      <c r="C25" s="2" t="inlineStr">
        <is>
          <t>RCA02150KFLF</t>
        </is>
      </c>
      <c r="D25" s="2" t="inlineStr">
        <is>
          <t>-55℃~+155℃ 150kΩ 50V 62.5mW Thick Film Resistor ±1% ±200ppm/℃ 0402 Chip Resistor - Surface Mount ROHS</t>
        </is>
      </c>
      <c r="E25" s="2" t="inlineStr">
        <is>
          <t>0.0004</t>
        </is>
      </c>
      <c r="F25" s="2" t="inlineStr">
        <is>
          <t>1</t>
        </is>
      </c>
      <c r="G25" s="2" t="inlineStr">
        <is>
          <t>0.0004</t>
        </is>
      </c>
    </row>
    <row r="26">
      <c r="A26" s="2" t="inlineStr">
        <is>
          <t>Extended</t>
        </is>
      </c>
      <c r="B26" s="2" t="inlineStr">
        <is>
          <t>C49330233</t>
        </is>
      </c>
      <c r="C26" s="2" t="inlineStr">
        <is>
          <t>AS0210KF</t>
        </is>
      </c>
      <c r="D26" s="2" t="inlineStr">
        <is>
          <t>-55℃~+155℃ 10kΩ 50V 62.5mW ±1% ±200ppm/℃ 0402 Chip Resistor - Surface Mount ROHS</t>
        </is>
      </c>
      <c r="E26" s="2" t="inlineStr">
        <is>
          <t>0.0016</t>
        </is>
      </c>
      <c r="F26" s="2" t="inlineStr">
        <is>
          <t>4</t>
        </is>
      </c>
      <c r="G26" s="2" t="inlineStr">
        <is>
          <t>0.0064</t>
        </is>
      </c>
    </row>
    <row r="27">
      <c r="A27" s="2" t="inlineStr">
        <is>
          <t>Basic</t>
        </is>
      </c>
      <c r="B27" s="2" t="inlineStr">
        <is>
          <t>C25104</t>
        </is>
      </c>
      <c r="C27" s="2" t="inlineStr">
        <is>
          <t>0402WGF3300TCE</t>
        </is>
      </c>
      <c r="D27" s="2" t="inlineStr">
        <is>
          <t>-55℃~+155℃ 330Ω 50V 62.5mW Thick Film Resistor ±1% ±100ppm/℃ 0402 Chip Resistor - Surface Mount ROHS</t>
        </is>
      </c>
      <c r="E27" s="2" t="inlineStr">
        <is>
          <t>0.0012</t>
        </is>
      </c>
      <c r="F27" s="2" t="inlineStr">
        <is>
          <t>3</t>
        </is>
      </c>
      <c r="G27" s="2" t="inlineStr">
        <is>
          <t>0.0036</t>
        </is>
      </c>
    </row>
    <row r="28">
      <c r="A28" s="2" t="inlineStr">
        <is>
          <t>Extended</t>
        </is>
      </c>
      <c r="B28" s="2" t="inlineStr">
        <is>
          <t>C25169</t>
        </is>
      </c>
      <c r="C28" s="2" t="inlineStr">
        <is>
          <t>0402WGJ047JTCE</t>
        </is>
      </c>
      <c r="D28" s="2" t="inlineStr">
        <is>
          <t>-55℃~+155℃ 4.7Ω 50V 62.5mW Thick Film Resistor ±200ppm/℃ ±5% 0402 Chip Resistor - Surface Mount ROHS</t>
        </is>
      </c>
      <c r="E28" s="2" t="inlineStr">
        <is>
          <t>0.0016</t>
        </is>
      </c>
      <c r="F28" s="2" t="inlineStr">
        <is>
          <t>8</t>
        </is>
      </c>
      <c r="G28" s="2" t="inlineStr">
        <is>
          <t>0.0128</t>
        </is>
      </c>
    </row>
    <row r="29">
      <c r="A29" s="2" t="inlineStr">
        <is>
          <t>Basic</t>
        </is>
      </c>
      <c r="B29" s="2" t="inlineStr">
        <is>
          <t>C25905</t>
        </is>
      </c>
      <c r="C29" s="2" t="inlineStr">
        <is>
          <t>0402WGF5101TCE</t>
        </is>
      </c>
      <c r="D29" s="2" t="inlineStr">
        <is>
          <t>-55℃~+155℃ 5.1kΩ 50V 62.5mW Thick Film Resistor ±1% ±100ppm/℃ 0402 Chip Resistor - Surface Mount ROHS</t>
        </is>
      </c>
      <c r="E29" s="2" t="inlineStr">
        <is>
          <t>0.0009</t>
        </is>
      </c>
      <c r="F29" s="2" t="inlineStr">
        <is>
          <t>1</t>
        </is>
      </c>
      <c r="G29" s="2" t="inlineStr">
        <is>
          <t>0.0009</t>
        </is>
      </c>
    </row>
    <row r="30">
      <c r="A30" s="2" t="inlineStr">
        <is>
          <t>Extended</t>
        </is>
      </c>
      <c r="B30" s="2" t="inlineStr">
        <is>
          <t>C100318</t>
        </is>
      </c>
      <c r="C30" s="2" t="inlineStr">
        <is>
          <t>CR0402FF22R0G</t>
        </is>
      </c>
      <c r="D30" s="2" t="inlineStr">
        <is>
          <t>-55℃~+125℃ 22Ω 50V 62.5mW Thick Film Resistor ±1% ±200ppm/℃ 0402 Chip Resistor - Surface Mount ROHS</t>
        </is>
      </c>
      <c r="E30" s="2" t="inlineStr">
        <is>
          <t>0.0006</t>
        </is>
      </c>
      <c r="F30" s="2" t="inlineStr">
        <is>
          <t>2</t>
        </is>
      </c>
      <c r="G30" s="2" t="inlineStr">
        <is>
          <t>0.0012</t>
        </is>
      </c>
    </row>
    <row r="31">
      <c r="A31" s="2" t="inlineStr">
        <is>
          <t>Basic</t>
        </is>
      </c>
      <c r="B31" s="2" t="inlineStr">
        <is>
          <t>C25076</t>
        </is>
      </c>
      <c r="C31" s="2" t="inlineStr">
        <is>
          <t>0402WGF1000TCE</t>
        </is>
      </c>
      <c r="D31" s="2" t="inlineStr">
        <is>
          <t>-55℃~+155℃ 100Ω 50V 62.5mW Thick Film Resistor ±1% ±100ppm/℃ 0402 Chip Resistor - Surface Mount ROHS</t>
        </is>
      </c>
      <c r="E31" s="2" t="inlineStr">
        <is>
          <t>0.0012</t>
        </is>
      </c>
      <c r="F31" s="2" t="inlineStr">
        <is>
          <t>3</t>
        </is>
      </c>
      <c r="G31" s="2" t="inlineStr">
        <is>
          <t>0.0036</t>
        </is>
      </c>
    </row>
    <row r="32">
      <c r="A32" s="2" t="inlineStr">
        <is>
          <t>Extended</t>
        </is>
      </c>
      <c r="B32" s="2" t="inlineStr">
        <is>
          <t>C159084</t>
        </is>
      </c>
      <c r="C32" s="2" t="inlineStr">
        <is>
          <t>RTT021913FTH</t>
        </is>
      </c>
      <c r="D32" s="2" t="inlineStr">
        <is>
          <t>-55℃~+155℃ 191kΩ 50V 62.5mW Thick Film Resistor ±1% ±100ppm/℃ 0402 Chip Resistor - Surface Mount ROHS</t>
        </is>
      </c>
      <c r="E32" s="2" t="inlineStr">
        <is>
          <t>0.0007</t>
        </is>
      </c>
      <c r="F32" s="2" t="inlineStr">
        <is>
          <t>1</t>
        </is>
      </c>
      <c r="G32" s="2" t="inlineStr">
        <is>
          <t>0.0007</t>
        </is>
      </c>
    </row>
    <row r="33">
      <c r="A33" s="2" t="inlineStr">
        <is>
          <t>Extended</t>
        </is>
      </c>
      <c r="B33" s="2" t="inlineStr">
        <is>
          <t>C64043</t>
        </is>
      </c>
      <c r="C33" s="2" t="inlineStr">
        <is>
          <t>0402WGF2403TCE</t>
        </is>
      </c>
      <c r="D33" s="2" t="inlineStr">
        <is>
          <t>-55℃~+155℃ 240kΩ 50V 62.5mW Thick Film Resistor ±1% ±100ppm/℃ 0402 Chip Resistor - Surface Mount ROHS</t>
        </is>
      </c>
      <c r="E33" s="2" t="inlineStr">
        <is>
          <t>0.001</t>
        </is>
      </c>
      <c r="F33" s="2" t="inlineStr">
        <is>
          <t>1</t>
        </is>
      </c>
      <c r="G33" s="2" t="inlineStr">
        <is>
          <t>0.001</t>
        </is>
      </c>
    </row>
    <row r="34">
      <c r="A34" s="2" t="inlineStr">
        <is>
          <t>Extended</t>
        </is>
      </c>
      <c r="B34" s="2" t="inlineStr">
        <is>
          <t>C144809</t>
        </is>
      </c>
      <c r="C34" s="2" t="inlineStr">
        <is>
          <t>AC0402FR-07100KL</t>
        </is>
      </c>
      <c r="D34" s="2" t="inlineStr">
        <is>
          <t>-55℃~+155℃ 100kΩ 50V 62.5mW Thick Film Resistor ±1% ±100ppm/℃ 0402 Chip Resistor - Surface Mount ROHS</t>
        </is>
      </c>
      <c r="E34" s="2" t="inlineStr">
        <is>
          <t>0.0018</t>
        </is>
      </c>
      <c r="F34" s="2" t="inlineStr">
        <is>
          <t>1</t>
        </is>
      </c>
      <c r="G34" s="2" t="inlineStr">
        <is>
          <t>0.0018</t>
        </is>
      </c>
    </row>
    <row r="35">
      <c r="A35" s="2" t="inlineStr">
        <is>
          <t>Basic</t>
        </is>
      </c>
      <c r="B35" s="2" t="inlineStr">
        <is>
          <t>C25900</t>
        </is>
      </c>
      <c r="C35" s="2" t="inlineStr">
        <is>
          <t>0402WGF4701TCE</t>
        </is>
      </c>
      <c r="D35" s="2" t="inlineStr">
        <is>
          <t>-55℃~+155℃ 4.7kΩ 50V 62.5mW Thick Film Resistor ±1% ±100ppm/℃ 0402 Chip Resistor - Surface Mount ROHS</t>
        </is>
      </c>
      <c r="E35" s="2" t="inlineStr">
        <is>
          <t>0.0011</t>
        </is>
      </c>
      <c r="F35" s="2" t="inlineStr">
        <is>
          <t>2</t>
        </is>
      </c>
      <c r="G35" s="2" t="inlineStr">
        <is>
          <t>0.0022</t>
        </is>
      </c>
    </row>
    <row r="36">
      <c r="A36" s="2" t="inlineStr">
        <is>
          <t>Extended</t>
        </is>
      </c>
      <c r="B36" s="2" t="inlineStr">
        <is>
          <t>C719176</t>
        </is>
      </c>
      <c r="C36" s="2" t="inlineStr">
        <is>
          <t>TC33X-2-103E</t>
        </is>
      </c>
      <c r="D36" s="2" t="inlineStr">
        <is>
          <t>1 10kΩ 150mW ±25% ±250ppm/℃ SMD-3P,3.8x3.6mm Potentiometers, Variable Resistors ROHS</t>
        </is>
      </c>
      <c r="E36" s="2" t="inlineStr">
        <is>
          <t>0.1065</t>
        </is>
      </c>
      <c r="F36" s="2" t="inlineStr">
        <is>
          <t>1</t>
        </is>
      </c>
      <c r="G36" s="2" t="inlineStr">
        <is>
          <t>0.1065</t>
        </is>
      </c>
    </row>
    <row r="37">
      <c r="A37" s="2" t="inlineStr">
        <is>
          <t>Extended</t>
        </is>
      </c>
      <c r="B37" s="2" t="inlineStr">
        <is>
          <t>C139797</t>
        </is>
      </c>
      <c r="C37" s="2" t="inlineStr">
        <is>
          <t>SKRPACE010</t>
        </is>
      </c>
      <c r="D37" s="2" t="inlineStr">
        <is>
          <t>-30℃~+85℃ 16V 2.5mm 2.6N 3.2mm 4.2mm 50,000 cycles 50mA J-Lead Oval button SPST-NO Surface Mount,Vertical SMD-4P,4.2x3.2mm Tactile Switches ROHS</t>
        </is>
      </c>
      <c r="E37" s="2" t="inlineStr">
        <is>
          <t>0.0629</t>
        </is>
      </c>
      <c r="F37" s="2" t="inlineStr">
        <is>
          <t>1</t>
        </is>
      </c>
      <c r="G37" s="2" t="inlineStr">
        <is>
          <t>0.0629</t>
        </is>
      </c>
    </row>
    <row r="38">
      <c r="A38" s="2" t="inlineStr">
        <is>
          <t>Extended</t>
        </is>
      </c>
      <c r="B38" s="2" t="inlineStr">
        <is>
          <t>C77131</t>
        </is>
      </c>
      <c r="C38" s="2" t="inlineStr">
        <is>
          <t>NCP15XH103F03RC</t>
        </is>
      </c>
      <c r="D38" s="2" t="inlineStr">
        <is>
          <t>-40℃~+125℃ 0.5mm 100mW 10kΩ 1mW/℃ 1mm 310uA 3380K 3434K 3455K ±1% ±1% 0402 NTC Thermistors ROHS</t>
        </is>
      </c>
      <c r="E38" s="2" t="inlineStr">
        <is>
          <t>0.0199</t>
        </is>
      </c>
      <c r="F38" s="2" t="inlineStr">
        <is>
          <t>1</t>
        </is>
      </c>
      <c r="G38" s="2" t="inlineStr">
        <is>
          <t>0.0199</t>
        </is>
      </c>
    </row>
    <row r="39">
      <c r="A39" s="2" t="inlineStr">
        <is>
          <t>Extended</t>
        </is>
      </c>
      <c r="B39" s="2" t="inlineStr">
        <is>
          <t>C190794</t>
        </is>
      </c>
      <c r="C39" s="2" t="inlineStr">
        <is>
          <t>NRF52840-QIAA-R</t>
        </is>
      </c>
      <c r="D39" s="2" t="inlineStr">
        <is>
          <t>-95dBm 1.7V~5.5V 2.4GHz 2.4GHz~2.4835GHz 2Mbps 4.82mA 6.26mA 8dBm SPI、USB、UART、ADC、I2S、PWM ZigBee、Bluetooth、LoRa、ISM transceiver AQFN-73-EP(7x7) RF Transceiver ICs ROHS</t>
        </is>
      </c>
      <c r="E39" s="2" t="inlineStr">
        <is>
          <t>5.7384</t>
        </is>
      </c>
      <c r="F39" s="2" t="inlineStr">
        <is>
          <t>1</t>
        </is>
      </c>
      <c r="G39" s="2" t="inlineStr">
        <is>
          <t>5.7384</t>
        </is>
      </c>
    </row>
    <row r="40">
      <c r="A40" s="2" t="inlineStr">
        <is>
          <t>Extended</t>
        </is>
      </c>
      <c r="B40" s="2" t="inlineStr">
        <is>
          <t>C22397843</t>
        </is>
      </c>
      <c r="C40" s="2" t="inlineStr">
        <is>
          <t>nRF9151-LACA-R7</t>
        </is>
      </c>
      <c r="D40" s="2" t="inlineStr">
        <is>
          <t>LGA-113(12.1x11.1) RF Modules ROHS</t>
        </is>
      </c>
      <c r="E40" s="2" t="inlineStr">
        <is>
          <t>16.1428</t>
        </is>
      </c>
      <c r="F40" s="2" t="inlineStr">
        <is>
          <t>1</t>
        </is>
      </c>
      <c r="G40" s="2" t="inlineStr">
        <is>
          <t>16.1428</t>
        </is>
      </c>
    </row>
    <row r="41">
      <c r="A41" s="2" t="inlineStr">
        <is>
          <t>Extended</t>
        </is>
      </c>
      <c r="B41" s="2" t="inlineStr">
        <is>
          <t>C25346894</t>
        </is>
      </c>
      <c r="C41" s="2" t="inlineStr">
        <is>
          <t>NPM1300-CAAA-R7</t>
        </is>
      </c>
      <c r="D41" s="2" t="inlineStr">
        <is>
          <t>WLCSP-35(2.4x3.1) Power Management - Specialized ROHS</t>
        </is>
      </c>
      <c r="E41" s="2" t="inlineStr">
        <is>
          <t>2.5632</t>
        </is>
      </c>
      <c r="F41" s="2" t="inlineStr">
        <is>
          <t>1</t>
        </is>
      </c>
      <c r="G41" s="2" t="inlineStr">
        <is>
          <t>2.5632</t>
        </is>
      </c>
    </row>
    <row r="42">
      <c r="A42" s="2" t="inlineStr">
        <is>
          <t>Extended</t>
        </is>
      </c>
      <c r="B42" s="2" t="inlineStr">
        <is>
          <t>C437655</t>
        </is>
      </c>
      <c r="C42" s="2" t="inlineStr">
        <is>
          <t>BMA400</t>
        </is>
      </c>
      <c r="D42" s="2" t="inlineStr">
        <is>
          <t>-40℃~+85℃ 1.71V~3.6V 12bit 160nA 1KB Accelerometer SPI、I2C X,Y,Z ±16g LGA-12(2x2) Accelerometers ROHS</t>
        </is>
      </c>
      <c r="E42" s="2" t="inlineStr">
        <is>
          <t>2.3952</t>
        </is>
      </c>
      <c r="F42" s="2" t="inlineStr">
        <is>
          <t>1</t>
        </is>
      </c>
      <c r="G42" s="2" t="inlineStr">
        <is>
          <t>2.3952</t>
        </is>
      </c>
    </row>
    <row r="43">
      <c r="A43" s="2" t="inlineStr">
        <is>
          <t>Extended</t>
        </is>
      </c>
      <c r="B43" s="2" t="inlineStr">
        <is>
          <t>C5137195</t>
        </is>
      </c>
      <c r="C43" s="2" t="inlineStr">
        <is>
          <t>BWU.FL-IPEX1</t>
        </is>
      </c>
      <c r="D43" s="2" t="inlineStr">
        <is>
          <t>1 1.25mm 2mm 50Ω 6GHz Board Side IPEX Male Pin SMD Coaxial Connectors (RF) ROHS</t>
        </is>
      </c>
      <c r="E43" s="2" t="inlineStr">
        <is>
          <t>0.0398</t>
        </is>
      </c>
      <c r="F43" s="2" t="inlineStr">
        <is>
          <t>2</t>
        </is>
      </c>
      <c r="G43" s="2" t="inlineStr">
        <is>
          <t>0.0796</t>
        </is>
      </c>
    </row>
    <row r="44">
      <c r="A44" s="2" t="inlineStr">
        <is>
          <t>Extended</t>
        </is>
      </c>
      <c r="B44" s="2" t="inlineStr">
        <is>
          <t>C239238</t>
        </is>
      </c>
      <c r="C44" s="2" t="inlineStr">
        <is>
          <t>AN6520-245</t>
        </is>
      </c>
      <c r="D44" s="2" t="inlineStr">
        <is>
          <t>-40℃~+85℃ 0.5dBi 1mm 2 2.2mm 2.45GHz 200MHz 3W 50Ω 6.5mm SMD Antennas ROHS</t>
        </is>
      </c>
      <c r="E44" s="2" t="inlineStr">
        <is>
          <t>0.5734</t>
        </is>
      </c>
      <c r="F44" s="2" t="inlineStr">
        <is>
          <t>1</t>
        </is>
      </c>
      <c r="G44" s="2" t="inlineStr">
        <is>
          <t>0.5734</t>
        </is>
      </c>
    </row>
    <row r="45">
      <c r="A45" s="2" t="inlineStr">
        <is>
          <t>Extended</t>
        </is>
      </c>
      <c r="B45" s="2" t="inlineStr">
        <is>
          <t>C160405</t>
        </is>
      </c>
      <c r="C45" s="2" t="inlineStr">
        <is>
          <t>SM06B-SRSS-TB(LF)(SN)</t>
        </is>
      </c>
      <c r="D45" s="2" t="inlineStr">
        <is>
          <t>-25℃~+85℃ 1 1A 1mm 1x6P 2.9mm 4.32mm 50V 6 6P 8mm Auxiliary Solder Pin Copper alloy PA SH Surface Mount, Right Angle Tin UL94V-0 White SMD,P=1mm,卧贴 Wire To Board Connector ROHS</t>
        </is>
      </c>
      <c r="E45" s="2" t="inlineStr">
        <is>
          <t>0.2998</t>
        </is>
      </c>
      <c r="F45" s="2" t="inlineStr">
        <is>
          <t>1</t>
        </is>
      </c>
      <c r="G45" s="2" t="inlineStr">
        <is>
          <t>0.2998</t>
        </is>
      </c>
    </row>
    <row r="46">
      <c r="A46" s="2" t="inlineStr">
        <is>
          <t>Extended</t>
        </is>
      </c>
      <c r="B46" s="2" t="inlineStr">
        <is>
          <t>C160404</t>
        </is>
      </c>
      <c r="C46" s="2" t="inlineStr">
        <is>
          <t>SM04B-SRSS-TB(LF)(SN)</t>
        </is>
      </c>
      <c r="D46" s="2" t="inlineStr">
        <is>
          <t>-25℃~+85℃ 1 1A 1mm 1x4P 2.9mm 4 4.32mm 4P 50V 6mm Auxiliary Solder Pin Copper alloy PA SH Surface Mount, Right Angle Tin UL94V-0 White SMD,P=1mm,卧贴 Wire To Board Connector ROHS</t>
        </is>
      </c>
      <c r="E46" s="2" t="inlineStr">
        <is>
          <t>0.2245</t>
        </is>
      </c>
      <c r="F46" s="2" t="inlineStr">
        <is>
          <t>1</t>
        </is>
      </c>
      <c r="G46" s="2" t="inlineStr">
        <is>
          <t>0.2245</t>
        </is>
      </c>
    </row>
    <row r="47">
      <c r="A47" s="2" t="inlineStr">
        <is>
          <t>Extended</t>
        </is>
      </c>
      <c r="B47" s="2" t="inlineStr">
        <is>
          <t>C41376037</t>
        </is>
      </c>
      <c r="C47" s="2" t="inlineStr">
        <is>
          <t>HX PZ1.27-2x5P TP</t>
        </is>
      </c>
      <c r="D47" s="2" t="inlineStr">
        <is>
          <t>-40℃~+105℃ 1.27mm 1.27mm 10P 1A 1mm 2 2x5P 4mm 500V Black Brass Gold Pin Header Surface Mount,Vertical SMD,P=1.27mm Pin Headers ROHS</t>
        </is>
      </c>
      <c r="E47" s="2" t="inlineStr">
        <is>
          <t>0.096</t>
        </is>
      </c>
      <c r="F47" s="2" t="inlineStr">
        <is>
          <t>2</t>
        </is>
      </c>
      <c r="G47" s="2" t="inlineStr">
        <is>
          <t>0.192</t>
        </is>
      </c>
    </row>
    <row r="48">
      <c r="A48" s="2" t="inlineStr">
        <is>
          <t>Extended</t>
        </is>
      </c>
      <c r="B48" s="2" t="inlineStr">
        <is>
          <t>C84817</t>
        </is>
      </c>
      <c r="C48" s="2" t="inlineStr">
        <is>
          <t>MT3608</t>
        </is>
      </c>
      <c r="D48" s="2" t="inlineStr">
        <is>
          <t>-40℃~+85℃ 1 1.2MHz 100uA、1.6mA 2A 2V~24V Adjustable Boost Boost Built-in No SOT-23-6 DC-DC Converters ROHS</t>
        </is>
      </c>
      <c r="E48" s="2" t="inlineStr">
        <is>
          <t>0.08</t>
        </is>
      </c>
      <c r="F48" s="2" t="inlineStr">
        <is>
          <t>2</t>
        </is>
      </c>
      <c r="G48" s="2" t="inlineStr">
        <is>
          <t>0.16</t>
        </is>
      </c>
    </row>
    <row r="49">
      <c r="A49" s="2" t="inlineStr">
        <is>
          <t>Extended</t>
        </is>
      </c>
      <c r="B49" s="2" t="inlineStr">
        <is>
          <t>C187794</t>
        </is>
      </c>
      <c r="C49" s="2" t="inlineStr">
        <is>
          <t>Q22FA12800025</t>
        </is>
      </c>
      <c r="D49" s="2" t="inlineStr">
        <is>
          <t>-20℃~+75℃ 32MHz 60Ω 8pF Crystal Oscillator ±10ppm ±10ppm SMD2016-4P Crystals ROHS</t>
        </is>
      </c>
      <c r="E49" s="2" t="inlineStr">
        <is>
          <t>0.2321</t>
        </is>
      </c>
      <c r="F49" s="2" t="inlineStr">
        <is>
          <t>1</t>
        </is>
      </c>
      <c r="G49" s="2" t="inlineStr">
        <is>
          <t>0.2321</t>
        </is>
      </c>
    </row>
  </sheetData>
  <autoFilter ref="A1:G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49" customWidth="1" min="2" max="2"/>
    <col width="55" customWidth="1" min="3" max="3"/>
    <col width="13" customWidth="1" min="4" max="4"/>
  </cols>
  <sheetData>
    <row r="1">
      <c r="A1" s="1" t="inlineStr">
        <is>
          <t>Comment</t>
        </is>
      </c>
      <c r="B1" s="1" t="inlineStr">
        <is>
          <t>Designator</t>
        </is>
      </c>
      <c r="C1" s="1" t="inlineStr">
        <is>
          <t>Footprint</t>
        </is>
      </c>
      <c r="D1" s="1" t="inlineStr">
        <is>
          <t>LCSC Part #</t>
        </is>
      </c>
    </row>
    <row r="2">
      <c r="A2" s="2" t="inlineStr">
        <is>
          <t>100nF</t>
        </is>
      </c>
      <c r="B2" s="2" t="inlineStr">
        <is>
          <t>C1,C4,C6,C8,C12,C13,C14,C15,C29,C30,C31,C32,C33</t>
        </is>
      </c>
      <c r="C2" s="2" t="inlineStr">
        <is>
          <t>Capacitor_SMD:C_0402_1005Metric</t>
        </is>
      </c>
      <c r="D2" s="2" t="inlineStr">
        <is>
          <t>C307331</t>
        </is>
      </c>
    </row>
    <row r="3">
      <c r="A3" s="2" t="inlineStr">
        <is>
          <t>1uF</t>
        </is>
      </c>
      <c r="B3" s="2" t="inlineStr">
        <is>
          <t>C2,C3,C5,C11,C24</t>
        </is>
      </c>
      <c r="C3" s="2" t="inlineStr">
        <is>
          <t>Capacitor_SMD:C_0402_1005Metric</t>
        </is>
      </c>
      <c r="D3" s="2" t="inlineStr">
        <is>
          <t>C52923</t>
        </is>
      </c>
    </row>
    <row r="4">
      <c r="A4" s="2" t="inlineStr">
        <is>
          <t>10uF</t>
        </is>
      </c>
      <c r="B4" s="2" t="inlineStr">
        <is>
          <t>C7,C16,C18,C20,C21,C22,C23</t>
        </is>
      </c>
      <c r="C4" s="2" t="inlineStr">
        <is>
          <t>Capacitor_SMD:C_0805_2012Metric</t>
        </is>
      </c>
      <c r="D4" s="2" t="inlineStr">
        <is>
          <t>C15850</t>
        </is>
      </c>
    </row>
    <row r="5">
      <c r="A5" s="2" t="inlineStr">
        <is>
          <t>22u 25V</t>
        </is>
      </c>
      <c r="B5" s="2" t="inlineStr">
        <is>
          <t>C17,C19</t>
        </is>
      </c>
      <c r="C5" s="2" t="inlineStr">
        <is>
          <t>Capacitor_SMD:C_1210_3225Metric</t>
        </is>
      </c>
      <c r="D5" s="2" t="inlineStr">
        <is>
          <t>C52306</t>
        </is>
      </c>
    </row>
    <row r="6">
      <c r="A6" s="2" t="inlineStr">
        <is>
          <t>0.6pF</t>
        </is>
      </c>
      <c r="B6" s="2" t="inlineStr">
        <is>
          <t>C25</t>
        </is>
      </c>
      <c r="C6" s="2" t="inlineStr">
        <is>
          <t>Capacitor_SMD:C_0402_1005Metric</t>
        </is>
      </c>
      <c r="D6" s="2" t="inlineStr">
        <is>
          <t>C778333</t>
        </is>
      </c>
    </row>
    <row r="7">
      <c r="A7" s="2" t="inlineStr">
        <is>
          <t>0.8pF</t>
        </is>
      </c>
      <c r="B7" s="2" t="inlineStr">
        <is>
          <t>C26</t>
        </is>
      </c>
      <c r="C7" s="2" t="inlineStr">
        <is>
          <t>Capacitor_SMD:C_0402_1005Metric</t>
        </is>
      </c>
      <c r="D7" s="2" t="inlineStr">
        <is>
          <t>C3875120</t>
        </is>
      </c>
    </row>
    <row r="8">
      <c r="A8" s="2" t="inlineStr">
        <is>
          <t>12pF</t>
        </is>
      </c>
      <c r="B8" s="2" t="inlineStr">
        <is>
          <t>C27,C35</t>
        </is>
      </c>
      <c r="C8" s="2" t="inlineStr">
        <is>
          <t>Capacitor_SMD:C_0402_1005Metric</t>
        </is>
      </c>
      <c r="D8" s="2" t="inlineStr">
        <is>
          <t>C1547</t>
        </is>
      </c>
    </row>
    <row r="9">
      <c r="A9" s="2" t="inlineStr">
        <is>
          <t>B2B-PH-SM4-TB</t>
        </is>
      </c>
      <c r="B9" s="2" t="inlineStr">
        <is>
          <t>CN1</t>
        </is>
      </c>
      <c r="C9" s="2" t="inlineStr">
        <is>
          <t>easyeda2kicad:CONN-SMD_B2B-PH-SM4-TB-LF-SN</t>
        </is>
      </c>
      <c r="D9" s="2" t="inlineStr">
        <is>
          <t>C160352</t>
        </is>
      </c>
    </row>
    <row r="10">
      <c r="A10" s="2" t="inlineStr">
        <is>
          <t>LED</t>
        </is>
      </c>
      <c r="B10" s="2" t="inlineStr">
        <is>
          <t>D1,D6,D7,D8,D9,D10,D11,D12</t>
        </is>
      </c>
      <c r="C10" s="2" t="inlineStr">
        <is>
          <t>easyeda2kicad:LED-SMD_L3.0-W3.0_XL-3030UWC-1W-3V</t>
        </is>
      </c>
      <c r="D10" s="2" t="inlineStr">
        <is>
          <t>C2843891</t>
        </is>
      </c>
    </row>
    <row r="11">
      <c r="A11" s="2" t="inlineStr">
        <is>
          <t>SP3012-04UTG</t>
        </is>
      </c>
      <c r="B11" s="2" t="inlineStr">
        <is>
          <t>D3</t>
        </is>
      </c>
      <c r="C11" s="2" t="inlineStr">
        <is>
          <t>easyeda2kicad:UDFN-10_L2.5-W1.0-P0.50-BL</t>
        </is>
      </c>
      <c r="D11" s="2" t="inlineStr">
        <is>
          <t>C151304</t>
        </is>
      </c>
    </row>
    <row r="12">
      <c r="A12" s="2" t="inlineStr">
        <is>
          <t>PRTR5V0U2X</t>
        </is>
      </c>
      <c r="B12" s="2" t="inlineStr">
        <is>
          <t>D5</t>
        </is>
      </c>
      <c r="C12" s="2" t="inlineStr">
        <is>
          <t>Package_TO_SOT_SMD:SOT-143</t>
        </is>
      </c>
      <c r="D12" s="2" t="inlineStr">
        <is>
          <t>C2827688</t>
        </is>
      </c>
    </row>
    <row r="13">
      <c r="A13" s="2" t="inlineStr">
        <is>
          <t>SS34_C8678</t>
        </is>
      </c>
      <c r="B13" s="2" t="inlineStr">
        <is>
          <t>D13,D14,D15</t>
        </is>
      </c>
      <c r="C13" s="2" t="inlineStr">
        <is>
          <t>easyeda2kicad:SMA_L4.3-W2.6-LS5.2-RD</t>
        </is>
      </c>
      <c r="D13" s="2" t="inlineStr">
        <is>
          <t>C8678</t>
        </is>
      </c>
    </row>
    <row r="14">
      <c r="A14" s="2" t="inlineStr">
        <is>
          <t>XH-2P-SMD</t>
        </is>
      </c>
      <c r="B14" s="2" t="inlineStr">
        <is>
          <t>J1</t>
        </is>
      </c>
      <c r="C14" s="2" t="inlineStr">
        <is>
          <t>easyeda2kicad:CONN-SMD_2P-P2.54_XH2.54-2AB</t>
        </is>
      </c>
      <c r="D14" s="2" t="inlineStr">
        <is>
          <t>C146125</t>
        </is>
      </c>
    </row>
    <row r="15">
      <c r="A15" s="2" t="inlineStr">
        <is>
          <t>2.54-3P-LT</t>
        </is>
      </c>
      <c r="B15" s="2" t="inlineStr">
        <is>
          <t>J2</t>
        </is>
      </c>
      <c r="C15" s="2" t="inlineStr">
        <is>
          <t>easyeda2kicad:CONN-SMD_2.54-3P-LT</t>
        </is>
      </c>
      <c r="D15" s="2" t="inlineStr">
        <is>
          <t>C2681544</t>
        </is>
      </c>
    </row>
    <row r="16">
      <c r="A16" s="2" t="inlineStr">
        <is>
          <t>SIM_Card</t>
        </is>
      </c>
      <c r="B16" s="2" t="inlineStr">
        <is>
          <t>J3</t>
        </is>
      </c>
      <c r="C16" s="2" t="inlineStr">
        <is>
          <t>easyeda2kicad:SIM-SMD_SMN-303</t>
        </is>
      </c>
      <c r="D16" s="2" t="inlineStr">
        <is>
          <t>C266888</t>
        </is>
      </c>
    </row>
    <row r="17">
      <c r="A17" s="2" t="inlineStr">
        <is>
          <t>10uH</t>
        </is>
      </c>
      <c r="B17" s="2" t="inlineStr">
        <is>
          <t>L2,L3</t>
        </is>
      </c>
      <c r="C17" s="2" t="inlineStr">
        <is>
          <t>easyeda2kicad:IND-SMD_L4.0-W4.0</t>
        </is>
      </c>
      <c r="D17" s="2" t="inlineStr">
        <is>
          <t>C2849472</t>
        </is>
      </c>
    </row>
    <row r="18">
      <c r="A18" s="2" t="inlineStr">
        <is>
          <t>2.2uH</t>
        </is>
      </c>
      <c r="B18" s="2" t="inlineStr">
        <is>
          <t>L4,L5</t>
        </is>
      </c>
      <c r="C18" s="2" t="inlineStr">
        <is>
          <t>easyeda2kicad:IND-SMD_L4.0-W4.0_NRS4018T</t>
        </is>
      </c>
      <c r="D18" s="2" t="inlineStr">
        <is>
          <t>C92959</t>
        </is>
      </c>
    </row>
    <row r="19">
      <c r="A19" s="2" t="inlineStr">
        <is>
          <t>4.7nH</t>
        </is>
      </c>
      <c r="B19" s="2" t="inlineStr">
        <is>
          <t>L6</t>
        </is>
      </c>
      <c r="C19" s="2" t="inlineStr">
        <is>
          <t>easyeda2kicad:L0402-R-RD</t>
        </is>
      </c>
      <c r="D19" s="2" t="inlineStr">
        <is>
          <t>C86065</t>
        </is>
      </c>
    </row>
    <row r="20">
      <c r="A20" s="2" t="inlineStr">
        <is>
          <t>19-237/R6GHBHC-A01/2T</t>
        </is>
      </c>
      <c r="B20" s="2" t="inlineStr">
        <is>
          <t>LED1,LED2</t>
        </is>
      </c>
      <c r="C20" s="2" t="inlineStr">
        <is>
          <t>easyeda2kicad:LED-ARRAY-SMD_4P-L1.6-W1.6-BL_1</t>
        </is>
      </c>
      <c r="D20" s="2" t="inlineStr">
        <is>
          <t>C60105</t>
        </is>
      </c>
    </row>
    <row r="21">
      <c r="A21" s="2" t="inlineStr">
        <is>
          <t>USB_C_Plug_USB2.0</t>
        </is>
      </c>
      <c r="B21" s="2" t="inlineStr">
        <is>
          <t>P1</t>
        </is>
      </c>
      <c r="C21" s="2" t="inlineStr">
        <is>
          <t>easyeda2kicad:TYPE-C-SMD_TYPE-C-6P_1</t>
        </is>
      </c>
      <c r="D21" s="2" t="inlineStr">
        <is>
          <t>C456012</t>
        </is>
      </c>
    </row>
    <row r="22">
      <c r="A22" s="2" t="inlineStr">
        <is>
          <t>BSS84</t>
        </is>
      </c>
      <c r="B22" s="2" t="inlineStr">
        <is>
          <t>Q1,Q2,Q4</t>
        </is>
      </c>
      <c r="C22" s="2" t="inlineStr">
        <is>
          <t>Package_TO_SOT_SMD:SOT-23</t>
        </is>
      </c>
      <c r="D22" s="2" t="inlineStr">
        <is>
          <t>C3018484</t>
        </is>
      </c>
    </row>
    <row r="23">
      <c r="A23" s="2" t="inlineStr">
        <is>
          <t>2N7002</t>
        </is>
      </c>
      <c r="B23" s="2" t="inlineStr">
        <is>
          <t>Q3,Q5,Q6</t>
        </is>
      </c>
      <c r="C23" s="2" t="inlineStr">
        <is>
          <t>Package_TO_SOT_SMD:SOT-23</t>
        </is>
      </c>
      <c r="D23" s="2" t="inlineStr">
        <is>
          <t>C8545</t>
        </is>
      </c>
    </row>
    <row r="24">
      <c r="A24" s="2" t="inlineStr">
        <is>
          <t>47k</t>
        </is>
      </c>
      <c r="B24" s="2" t="inlineStr">
        <is>
          <t>R1</t>
        </is>
      </c>
      <c r="C24" s="2" t="inlineStr">
        <is>
          <t>Resistor_SMD:R_0402_1005Metric</t>
        </is>
      </c>
      <c r="D24" s="2" t="inlineStr">
        <is>
          <t>C25792</t>
        </is>
      </c>
    </row>
    <row r="25">
      <c r="A25" s="2" t="inlineStr">
        <is>
          <t>150k</t>
        </is>
      </c>
      <c r="B25" s="2" t="inlineStr">
        <is>
          <t>R2</t>
        </is>
      </c>
      <c r="C25" s="2" t="inlineStr">
        <is>
          <t>Resistor_SMD:R_0402_1005Metric</t>
        </is>
      </c>
      <c r="D25" s="2" t="inlineStr">
        <is>
          <t>C22369540</t>
        </is>
      </c>
    </row>
    <row r="26">
      <c r="A26" s="2" t="inlineStr">
        <is>
          <t>10k</t>
        </is>
      </c>
      <c r="B26" s="2" t="inlineStr">
        <is>
          <t>R3,R4,R20,R22</t>
        </is>
      </c>
      <c r="C26" s="2" t="inlineStr">
        <is>
          <t>Resistor_SMD:R_0402_1005Metric</t>
        </is>
      </c>
      <c r="D26" s="2" t="inlineStr">
        <is>
          <t>C49330233</t>
        </is>
      </c>
    </row>
    <row r="27">
      <c r="A27" s="2" t="inlineStr">
        <is>
          <t>330</t>
        </is>
      </c>
      <c r="B27" s="2" t="inlineStr">
        <is>
          <t>R5,R6,R28</t>
        </is>
      </c>
      <c r="C27" s="2" t="inlineStr">
        <is>
          <t>Resistor_SMD:R_0402_1005Metric</t>
        </is>
      </c>
      <c r="D27" s="2" t="inlineStr">
        <is>
          <t>C25104</t>
        </is>
      </c>
    </row>
    <row r="28">
      <c r="A28" s="2" t="inlineStr">
        <is>
          <t>4.7</t>
        </is>
      </c>
      <c r="B28" s="2" t="inlineStr">
        <is>
          <t>R7,R8,R9,R10,R11,R12,R13,R14</t>
        </is>
      </c>
      <c r="C28" s="2" t="inlineStr">
        <is>
          <t>Resistor_SMD:R_0402_1005Metric</t>
        </is>
      </c>
      <c r="D28" s="2" t="inlineStr">
        <is>
          <t>C25169</t>
        </is>
      </c>
    </row>
    <row r="29">
      <c r="A29" s="2" t="inlineStr">
        <is>
          <t>5.1k</t>
        </is>
      </c>
      <c r="B29" s="2" t="inlineStr">
        <is>
          <t>R15</t>
        </is>
      </c>
      <c r="C29" s="2" t="inlineStr">
        <is>
          <t>Resistor_SMD:R_0402_1005Metric</t>
        </is>
      </c>
      <c r="D29" s="2" t="inlineStr">
        <is>
          <t>C25905</t>
        </is>
      </c>
    </row>
    <row r="30">
      <c r="A30" s="2" t="inlineStr">
        <is>
          <t>22R</t>
        </is>
      </c>
      <c r="B30" s="2" t="inlineStr">
        <is>
          <t>R16,R17</t>
        </is>
      </c>
      <c r="C30" s="2" t="inlineStr">
        <is>
          <t>Resistor_SMD:R_0402_1005Metric</t>
        </is>
      </c>
      <c r="D30" s="2" t="inlineStr">
        <is>
          <t>C100318</t>
        </is>
      </c>
    </row>
    <row r="31">
      <c r="A31" s="2" t="inlineStr">
        <is>
          <t>100R</t>
        </is>
      </c>
      <c r="B31" s="2" t="inlineStr">
        <is>
          <t>R18,R23,R24</t>
        </is>
      </c>
      <c r="C31" s="2" t="inlineStr">
        <is>
          <t>Resistor_SMD:R_0402_1005Metric</t>
        </is>
      </c>
      <c r="D31" s="2" t="inlineStr">
        <is>
          <t>C25076</t>
        </is>
      </c>
    </row>
    <row r="32">
      <c r="A32" s="2" t="inlineStr">
        <is>
          <t>191k</t>
        </is>
      </c>
      <c r="B32" s="2" t="inlineStr">
        <is>
          <t>R19</t>
        </is>
      </c>
      <c r="C32" s="2" t="inlineStr">
        <is>
          <t>Resistor_SMD:R_0402_1005Metric</t>
        </is>
      </c>
      <c r="D32" s="2" t="inlineStr">
        <is>
          <t>C159084</t>
        </is>
      </c>
    </row>
    <row r="33">
      <c r="A33" s="2" t="inlineStr">
        <is>
          <t>240k</t>
        </is>
      </c>
      <c r="B33" s="2" t="inlineStr">
        <is>
          <t>R21</t>
        </is>
      </c>
      <c r="C33" s="2" t="inlineStr">
        <is>
          <t>Resistor_SMD:R_0402_1005Metric</t>
        </is>
      </c>
      <c r="D33" s="2" t="inlineStr">
        <is>
          <t>C64043</t>
        </is>
      </c>
    </row>
    <row r="34">
      <c r="A34" s="2" t="inlineStr">
        <is>
          <t>100k</t>
        </is>
      </c>
      <c r="B34" s="2" t="inlineStr">
        <is>
          <t>R25</t>
        </is>
      </c>
      <c r="C34" s="2" t="inlineStr">
        <is>
          <t>Resistor_SMD:R_0402_1005Metric</t>
        </is>
      </c>
      <c r="D34" s="2" t="inlineStr">
        <is>
          <t>C144809</t>
        </is>
      </c>
    </row>
    <row r="35">
      <c r="A35" s="2" t="inlineStr">
        <is>
          <t>4.7k</t>
        </is>
      </c>
      <c r="B35" s="2" t="inlineStr">
        <is>
          <t>R26,R27</t>
        </is>
      </c>
      <c r="C35" s="2" t="inlineStr">
        <is>
          <t>Resistor_SMD:R_0402_1005Metric</t>
        </is>
      </c>
      <c r="D35" s="2" t="inlineStr">
        <is>
          <t>C25900</t>
        </is>
      </c>
    </row>
    <row r="36">
      <c r="A36" s="2" t="inlineStr">
        <is>
          <t>10k</t>
        </is>
      </c>
      <c r="B36" s="2" t="inlineStr">
        <is>
          <t>RV1</t>
        </is>
      </c>
      <c r="C36" s="2" t="inlineStr">
        <is>
          <t>easyeda2kicad:RES-ADJ-SMD_3P-L3.0-W3.8-P1.75-BR</t>
        </is>
      </c>
      <c r="D36" s="2" t="inlineStr">
        <is>
          <t>C719176</t>
        </is>
      </c>
    </row>
    <row r="37">
      <c r="A37" s="2" t="inlineStr">
        <is>
          <t>SW_Push</t>
        </is>
      </c>
      <c r="B37" s="2" t="inlineStr">
        <is>
          <t>SW1</t>
        </is>
      </c>
      <c r="C37" s="2" t="inlineStr">
        <is>
          <t>easyeda2kicad:KEY-SMD_4P-L4.2-W3.2-P2.20-LS4.6</t>
        </is>
      </c>
      <c r="D37" s="2" t="inlineStr">
        <is>
          <t>C139797</t>
        </is>
      </c>
    </row>
    <row r="38">
      <c r="A38" s="2" t="inlineStr">
        <is>
          <t>Thermistor</t>
        </is>
      </c>
      <c r="B38" s="2" t="inlineStr">
        <is>
          <t>TH1</t>
        </is>
      </c>
      <c r="C38" s="2" t="inlineStr">
        <is>
          <t>Resistor_SMD:R_0402_1005Metric</t>
        </is>
      </c>
      <c r="D38" s="2" t="inlineStr">
        <is>
          <t>C77131</t>
        </is>
      </c>
    </row>
    <row r="39">
      <c r="A39" s="2" t="inlineStr">
        <is>
          <t>nRF52840</t>
        </is>
      </c>
      <c r="B39" s="2" t="inlineStr">
        <is>
          <t>U1</t>
        </is>
      </c>
      <c r="C39" s="2" t="inlineStr">
        <is>
          <t>Package_DFN_QFN:Nordic_AQFN-73-1EP_7x7mm_P0.5mm</t>
        </is>
      </c>
      <c r="D39" s="2" t="inlineStr">
        <is>
          <t>C190794</t>
        </is>
      </c>
    </row>
    <row r="40">
      <c r="A40" s="2" t="inlineStr">
        <is>
          <t>NRF9151-LACA-R7</t>
        </is>
      </c>
      <c r="B40" s="2" t="inlineStr">
        <is>
          <t>U2</t>
        </is>
      </c>
      <c r="C40" s="2" t="inlineStr">
        <is>
          <t>easyeda2kicad:LGA-113_L12.1-W11.1_NRF9151-LACA-R7</t>
        </is>
      </c>
      <c r="D40" s="2" t="inlineStr">
        <is>
          <t>C22397843</t>
        </is>
      </c>
    </row>
    <row r="41">
      <c r="A41" s="2" t="inlineStr">
        <is>
          <t>NPM1300</t>
        </is>
      </c>
      <c r="B41" s="2" t="inlineStr">
        <is>
          <t>U3</t>
        </is>
      </c>
      <c r="C41" s="2" t="inlineStr">
        <is>
          <t>easyeda2kicad:BGA-35_L3.1-W2.4-R5-C7-P0.42_NPM1300-CAAA-R</t>
        </is>
      </c>
      <c r="D41" s="2" t="inlineStr">
        <is>
          <t>C25346894</t>
        </is>
      </c>
    </row>
    <row r="42">
      <c r="A42" s="2" t="inlineStr">
        <is>
          <t>BMA400</t>
        </is>
      </c>
      <c r="B42" s="2" t="inlineStr">
        <is>
          <t>U4</t>
        </is>
      </c>
      <c r="C42" s="2" t="inlineStr">
        <is>
          <t>easyeda2kicad:LGA-12_L2.0-W2.0-P0.50-BL</t>
        </is>
      </c>
      <c r="D42" s="2" t="inlineStr">
        <is>
          <t>C437655</t>
        </is>
      </c>
    </row>
    <row r="43">
      <c r="A43" s="2" t="inlineStr">
        <is>
          <t>BWU.FL-IPEX1</t>
        </is>
      </c>
      <c r="B43" s="2" t="inlineStr">
        <is>
          <t>U6,U10</t>
        </is>
      </c>
      <c r="C43" s="2" t="inlineStr">
        <is>
          <t>easyeda2kicad:IPEX-SMD_BWIPX-1-001E</t>
        </is>
      </c>
      <c r="D43" s="2" t="inlineStr">
        <is>
          <t>C5137195</t>
        </is>
      </c>
    </row>
    <row r="44">
      <c r="A44" s="2" t="inlineStr">
        <is>
          <t>AN6520-245</t>
        </is>
      </c>
      <c r="B44" s="2" t="inlineStr">
        <is>
          <t>U7</t>
        </is>
      </c>
      <c r="C44" s="2" t="inlineStr">
        <is>
          <t>easyeda2kicad:ANT-SMD_L6.5-W2.0</t>
        </is>
      </c>
      <c r="D44" s="2" t="inlineStr">
        <is>
          <t>C239238</t>
        </is>
      </c>
    </row>
    <row r="45">
      <c r="A45" s="2" t="inlineStr">
        <is>
          <t>SEN0348_CONN</t>
        </is>
      </c>
      <c r="B45" s="2" t="inlineStr">
        <is>
          <t>U8</t>
        </is>
      </c>
      <c r="C45" s="2" t="inlineStr">
        <is>
          <t>easyeda2kicad:CONN-SMD_SM06B-SRSS-TB-LF-SN</t>
        </is>
      </c>
      <c r="D45" s="2" t="inlineStr">
        <is>
          <t>C160405</t>
        </is>
      </c>
    </row>
    <row r="46">
      <c r="A46" s="2" t="inlineStr">
        <is>
          <t>SM04B-SRSS-TB</t>
        </is>
      </c>
      <c r="B46" s="2" t="inlineStr">
        <is>
          <t>U9</t>
        </is>
      </c>
      <c r="C46" s="2" t="inlineStr">
        <is>
          <t>easyeda2kicad:CONN-SMD_4P-P1.00_SM04B-SRSS-TB-LF-SN</t>
        </is>
      </c>
      <c r="D46" s="2" t="inlineStr">
        <is>
          <t>C160404</t>
        </is>
      </c>
    </row>
    <row r="47">
      <c r="A47" s="2" t="inlineStr">
        <is>
          <t>HX PZ1.27-2x5P TP</t>
        </is>
      </c>
      <c r="B47" s="2" t="inlineStr">
        <is>
          <t>U11,U14</t>
        </is>
      </c>
      <c r="C47" s="2" t="inlineStr">
        <is>
          <t>easyeda2kicad:HDR-SMD_10P-P1.27-V-M-R2-C5-LS5.5_1</t>
        </is>
      </c>
      <c r="D47" s="2" t="inlineStr">
        <is>
          <t>C41376037</t>
        </is>
      </c>
    </row>
    <row r="48">
      <c r="A48" s="2" t="inlineStr">
        <is>
          <t>MT3608</t>
        </is>
      </c>
      <c r="B48" s="2" t="inlineStr">
        <is>
          <t>U12,U13</t>
        </is>
      </c>
      <c r="C48" s="2" t="inlineStr">
        <is>
          <t>easyeda2kicad:SOT-23-6_L2.9-W1.6-P0.95-LS2.8-BL</t>
        </is>
      </c>
      <c r="D48" s="2" t="inlineStr">
        <is>
          <t>C84817</t>
        </is>
      </c>
    </row>
    <row r="49">
      <c r="A49" s="2" t="inlineStr">
        <is>
          <t>32MHz</t>
        </is>
      </c>
      <c r="B49" s="2" t="inlineStr">
        <is>
          <t>Y1</t>
        </is>
      </c>
      <c r="C49" s="2" t="inlineStr">
        <is>
          <t>easyeda2kicad:CRYSTAL-SMD_4P-L2.0-W1.6-BL</t>
        </is>
      </c>
      <c r="D49" s="2" t="inlineStr">
        <is>
          <t>C187794</t>
        </is>
      </c>
    </row>
  </sheetData>
  <autoFilter ref="A1:D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7" customWidth="1" min="3" max="3"/>
    <col width="13" customWidth="1" min="4" max="4"/>
    <col width="14" customWidth="1" min="5" max="5"/>
    <col width="12" customWidth="1" min="6" max="6"/>
    <col width="13" customWidth="1" min="7" max="7"/>
    <col width="10" customWidth="1" min="8" max="8"/>
    <col width="14" customWidth="1" min="9" max="9"/>
    <col width="10" customWidth="1" min="10" max="10"/>
    <col width="10" customWidth="1" min="11" max="11"/>
    <col width="10" customWidth="1" min="12" max="12"/>
    <col width="12" customWidth="1" min="13" max="13"/>
    <col width="20" customWidth="1" min="14" max="14"/>
    <col width="12" customWidth="1" min="15" max="15"/>
    <col width="22" customWidth="1" min="16" max="16"/>
    <col width="10" customWidth="1" min="17" max="17"/>
  </cols>
  <sheetData>
    <row r="1">
      <c r="A1" s="1" t="inlineStr">
        <is>
          <t>Designators</t>
        </is>
      </c>
      <c r="B1" s="1" t="inlineStr">
        <is>
          <t>Value</t>
        </is>
      </c>
      <c r="C1" s="1" t="inlineStr">
        <is>
          <t>KiCad Footprint</t>
        </is>
      </c>
      <c r="D1" s="1" t="inlineStr">
        <is>
          <t>LCSC Part #</t>
        </is>
      </c>
      <c r="E1" s="1" t="inlineStr">
        <is>
          <t>Manufacturer</t>
        </is>
      </c>
      <c r="F1" s="1" t="inlineStr">
        <is>
          <t>MFR Part #</t>
        </is>
      </c>
      <c r="G1" s="1" t="inlineStr">
        <is>
          <t>Description</t>
        </is>
      </c>
      <c r="H1" s="1" t="inlineStr">
        <is>
          <t>Package</t>
        </is>
      </c>
      <c r="I1" s="1" t="inlineStr">
        <is>
          <t>Library Type</t>
        </is>
      </c>
      <c r="J1" s="1" t="inlineStr">
        <is>
          <t>Stock</t>
        </is>
      </c>
      <c r="K1" s="1" t="inlineStr">
        <is>
          <t>Min Qty</t>
        </is>
      </c>
      <c r="L1" s="1" t="inlineStr">
        <is>
          <t>Reel Qty</t>
        </is>
      </c>
      <c r="M1" s="1" t="inlineStr">
        <is>
          <t>Qty Needed</t>
        </is>
      </c>
      <c r="N1" s="1" t="inlineStr">
        <is>
          <t>Suggested Cart Qty</t>
        </is>
      </c>
      <c r="O1" s="1" t="inlineStr">
        <is>
          <t>Unit Price</t>
        </is>
      </c>
      <c r="P1" s="1" t="inlineStr">
        <is>
          <t>Suggested Cart Total</t>
        </is>
      </c>
      <c r="Q1" s="1" t="inlineStr">
        <is>
          <t>Notes</t>
        </is>
      </c>
    </row>
  </sheetData>
  <autoFilter ref="A1:Q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9" customWidth="1" min="1" max="1"/>
    <col width="23" customWidth="1" min="2" max="2"/>
    <col width="55" customWidth="1" min="3" max="3"/>
    <col width="10" customWidth="1" min="4" max="4"/>
    <col width="20" customWidth="1" min="5" max="5"/>
    <col width="23" customWidth="1" min="6" max="6"/>
    <col width="11" customWidth="1" min="7" max="7"/>
    <col width="55" customWidth="1" min="8" max="8"/>
    <col width="10" customWidth="1" min="9" max="9"/>
  </cols>
  <sheetData>
    <row r="1">
      <c r="A1" s="1" t="inlineStr">
        <is>
          <t>Refs</t>
        </is>
      </c>
      <c r="B1" s="1" t="inlineStr">
        <is>
          <t>Value</t>
        </is>
      </c>
      <c r="C1" s="1" t="inlineStr">
        <is>
          <t>Footprint</t>
        </is>
      </c>
      <c r="D1" s="1" t="inlineStr">
        <is>
          <t>Qty</t>
        </is>
      </c>
      <c r="E1" s="1" t="inlineStr">
        <is>
          <t>Manufacturer</t>
        </is>
      </c>
      <c r="F1" s="1" t="inlineStr">
        <is>
          <t>MPN</t>
        </is>
      </c>
      <c r="G1" s="1" t="inlineStr">
        <is>
          <t>LCSC Part</t>
        </is>
      </c>
      <c r="H1" s="1" t="inlineStr">
        <is>
          <t>Datasheet</t>
        </is>
      </c>
      <c r="I1" s="1" t="inlineStr">
        <is>
          <t>DNP</t>
        </is>
      </c>
    </row>
    <row r="2">
      <c r="A2" s="2" t="inlineStr">
        <is>
          <t>C1,C4,C6,C8,C12-C15,C29-C33</t>
        </is>
      </c>
      <c r="B2" s="2" t="inlineStr">
        <is>
          <t>100nF</t>
        </is>
      </c>
      <c r="C2" s="2" t="inlineStr">
        <is>
          <t>Capacitor_SMD:C_0402_1005Metric</t>
        </is>
      </c>
      <c r="D2" s="2" t="inlineStr">
        <is>
          <t>13</t>
        </is>
      </c>
      <c r="E2" s="2" t="inlineStr"/>
      <c r="F2" s="2" t="inlineStr"/>
      <c r="G2" s="2" t="inlineStr"/>
      <c r="H2" s="2" t="inlineStr"/>
      <c r="I2" s="2" t="inlineStr"/>
    </row>
    <row r="3">
      <c r="A3" s="2" t="inlineStr">
        <is>
          <t>C2,C3,C5,C11,C24</t>
        </is>
      </c>
      <c r="B3" s="2" t="inlineStr">
        <is>
          <t>1uF</t>
        </is>
      </c>
      <c r="C3" s="2" t="inlineStr">
        <is>
          <t>Capacitor_SMD:C_0402_1005Metric</t>
        </is>
      </c>
      <c r="D3" s="2" t="inlineStr">
        <is>
          <t>5</t>
        </is>
      </c>
      <c r="E3" s="2" t="inlineStr"/>
      <c r="F3" s="2" t="inlineStr"/>
      <c r="G3" s="2" t="inlineStr"/>
      <c r="H3" s="2" t="inlineStr"/>
      <c r="I3" s="2" t="inlineStr"/>
    </row>
    <row r="4">
      <c r="A4" s="2" t="inlineStr">
        <is>
          <t>C7,C16,C18,C20-C23</t>
        </is>
      </c>
      <c r="B4" s="2" t="inlineStr">
        <is>
          <t>10uF</t>
        </is>
      </c>
      <c r="C4" s="2" t="inlineStr">
        <is>
          <t>Capacitor_SMD:C_0805_2012Metric</t>
        </is>
      </c>
      <c r="D4" s="2" t="inlineStr">
        <is>
          <t>7</t>
        </is>
      </c>
      <c r="E4" s="2" t="inlineStr"/>
      <c r="F4" s="2" t="inlineStr"/>
      <c r="G4" s="2" t="inlineStr"/>
      <c r="H4" s="2" t="inlineStr"/>
      <c r="I4" s="2" t="inlineStr"/>
    </row>
    <row r="5">
      <c r="A5" s="2" t="inlineStr">
        <is>
          <t>C17,C19</t>
        </is>
      </c>
      <c r="B5" s="2" t="inlineStr">
        <is>
          <t>22u 25V</t>
        </is>
      </c>
      <c r="C5" s="2" t="inlineStr">
        <is>
          <t>Capacitor_SMD:C_1210_3225Metric</t>
        </is>
      </c>
      <c r="D5" s="2" t="inlineStr">
        <is>
          <t>2</t>
        </is>
      </c>
      <c r="E5" s="2" t="inlineStr"/>
      <c r="F5" s="2" t="inlineStr"/>
      <c r="G5" s="2" t="inlineStr"/>
      <c r="H5" s="2" t="inlineStr"/>
      <c r="I5" s="2" t="inlineStr"/>
    </row>
    <row r="6">
      <c r="A6" s="2" t="inlineStr">
        <is>
          <t>C25</t>
        </is>
      </c>
      <c r="B6" s="2" t="inlineStr">
        <is>
          <t>0.6pF</t>
        </is>
      </c>
      <c r="C6" s="2" t="inlineStr">
        <is>
          <t>Capacitor_SMD:C_0402_1005Metric</t>
        </is>
      </c>
      <c r="D6" s="2" t="inlineStr">
        <is>
          <t>1</t>
        </is>
      </c>
      <c r="E6" s="2" t="inlineStr"/>
      <c r="F6" s="2" t="inlineStr"/>
      <c r="G6" s="2" t="inlineStr"/>
      <c r="H6" s="2" t="inlineStr"/>
      <c r="I6" s="2" t="inlineStr"/>
    </row>
    <row r="7">
      <c r="A7" s="2" t="inlineStr">
        <is>
          <t>C26</t>
        </is>
      </c>
      <c r="B7" s="2" t="inlineStr">
        <is>
          <t>0.8pF</t>
        </is>
      </c>
      <c r="C7" s="2" t="inlineStr">
        <is>
          <t>Capacitor_SMD:C_0402_1005Metric</t>
        </is>
      </c>
      <c r="D7" s="2" t="inlineStr">
        <is>
          <t>1</t>
        </is>
      </c>
      <c r="E7" s="2" t="inlineStr"/>
      <c r="F7" s="2" t="inlineStr"/>
      <c r="G7" s="2" t="inlineStr"/>
      <c r="H7" s="2" t="inlineStr"/>
      <c r="I7" s="2" t="inlineStr"/>
    </row>
    <row r="8">
      <c r="A8" s="2" t="inlineStr">
        <is>
          <t>C27,C35</t>
        </is>
      </c>
      <c r="B8" s="2" t="inlineStr">
        <is>
          <t>12pF</t>
        </is>
      </c>
      <c r="C8" s="2" t="inlineStr">
        <is>
          <t>Capacitor_SMD:C_0402_1005Metric</t>
        </is>
      </c>
      <c r="D8" s="2" t="inlineStr">
        <is>
          <t>2</t>
        </is>
      </c>
      <c r="E8" s="2" t="inlineStr"/>
      <c r="F8" s="2" t="inlineStr"/>
      <c r="G8" s="2" t="inlineStr"/>
      <c r="H8" s="2" t="inlineStr"/>
      <c r="I8" s="2" t="inlineStr"/>
    </row>
    <row r="9">
      <c r="A9" s="2" t="inlineStr">
        <is>
          <t>CN1</t>
        </is>
      </c>
      <c r="B9" s="2" t="inlineStr">
        <is>
          <t>B2B-PH-SM4-TB</t>
        </is>
      </c>
      <c r="C9" s="2" t="inlineStr">
        <is>
          <t>easyeda2kicad:CONN-SMD_B2B-PH-SM4-TB-LF-SN</t>
        </is>
      </c>
      <c r="D9" s="2" t="inlineStr">
        <is>
          <t>1</t>
        </is>
      </c>
      <c r="E9" s="2" t="inlineStr">
        <is>
          <t>JST</t>
        </is>
      </c>
      <c r="F9" s="2" t="inlineStr">
        <is>
          <t>B2B-PH-SM4-TB(LF)(SN)</t>
        </is>
      </c>
      <c r="G9" s="2" t="inlineStr">
        <is>
          <t>C160352</t>
        </is>
      </c>
      <c r="H9" s="2" t="inlineStr">
        <is>
          <t>https://lcsc.com/product-detail/C160352.html</t>
        </is>
      </c>
      <c r="I9" s="2" t="inlineStr"/>
    </row>
    <row r="10">
      <c r="A10" s="2" t="inlineStr">
        <is>
          <t>D1,D6-D12</t>
        </is>
      </c>
      <c r="B10" s="2" t="inlineStr">
        <is>
          <t>LED</t>
        </is>
      </c>
      <c r="C10" s="2" t="inlineStr">
        <is>
          <t>easyeda2kicad:LED-SMD_L3.0-W3.0_XL-3030UWC-1W-3V</t>
        </is>
      </c>
      <c r="D10" s="2" t="inlineStr">
        <is>
          <t>8</t>
        </is>
      </c>
      <c r="E10" s="2" t="inlineStr"/>
      <c r="F10" s="2" t="inlineStr"/>
      <c r="G10" s="2" t="inlineStr"/>
      <c r="H10" s="2" t="inlineStr"/>
      <c r="I10" s="2" t="inlineStr"/>
    </row>
    <row r="11">
      <c r="A11" s="2" t="inlineStr">
        <is>
          <t>D3</t>
        </is>
      </c>
      <c r="B11" s="2" t="inlineStr">
        <is>
          <t>SP3012-04UTG</t>
        </is>
      </c>
      <c r="C11" s="2" t="inlineStr">
        <is>
          <t>easyeda2kicad:UDFN-10_L2.5-W1.0-P0.50-BL</t>
        </is>
      </c>
      <c r="D11" s="2" t="inlineStr">
        <is>
          <t>1</t>
        </is>
      </c>
      <c r="E11" s="2" t="inlineStr">
        <is>
          <t>Littelfuse(美国力特)</t>
        </is>
      </c>
      <c r="F11" s="2" t="inlineStr">
        <is>
          <t>SP3012-04UTG</t>
        </is>
      </c>
      <c r="G11" s="2" t="inlineStr">
        <is>
          <t>C151304</t>
        </is>
      </c>
      <c r="H11" s="2" t="inlineStr">
        <is>
          <t>https://lcsc.com/product-detail/TVS_Littelfuse_SP3012-04UTG_Littelfuse-SP3012-04UTG_C151304.html</t>
        </is>
      </c>
      <c r="I11" s="2" t="inlineStr"/>
    </row>
    <row r="12">
      <c r="A12" s="2" t="inlineStr">
        <is>
          <t>D5</t>
        </is>
      </c>
      <c r="B12" s="2" t="inlineStr">
        <is>
          <t>PRTR5V0U2X</t>
        </is>
      </c>
      <c r="C12" s="2" t="inlineStr">
        <is>
          <t>Package_TO_SOT_SMD:SOT-143</t>
        </is>
      </c>
      <c r="D12" s="2" t="inlineStr">
        <is>
          <t>1</t>
        </is>
      </c>
      <c r="E12" s="2" t="inlineStr"/>
      <c r="F12" s="2" t="inlineStr"/>
      <c r="G12" s="2" t="inlineStr"/>
      <c r="H12" s="2" t="inlineStr">
        <is>
          <t>https://assets.nexperia.com/documents/data-sheet/PRTR5V0U2X.pdf</t>
        </is>
      </c>
      <c r="I12" s="2" t="inlineStr"/>
    </row>
    <row r="13">
      <c r="A13" s="2" t="inlineStr">
        <is>
          <t>D13-D15</t>
        </is>
      </c>
      <c r="B13" s="2" t="inlineStr">
        <is>
          <t>SS34_C8678</t>
        </is>
      </c>
      <c r="C13" s="2" t="inlineStr">
        <is>
          <t>easyeda2kicad:SMA_L4.3-W2.6-LS5.2-RD</t>
        </is>
      </c>
      <c r="D13" s="2" t="inlineStr">
        <is>
          <t>3</t>
        </is>
      </c>
      <c r="E13" s="2" t="inlineStr">
        <is>
          <t>MDD(辰达半导体)</t>
        </is>
      </c>
      <c r="F13" s="2" t="inlineStr">
        <is>
          <t>SS34</t>
        </is>
      </c>
      <c r="G13" s="2" t="inlineStr">
        <is>
          <t>C8678</t>
        </is>
      </c>
      <c r="H13" s="2" t="inlineStr">
        <is>
          <t>https://lcsc.com/product-detail/Schottky-Barrier-Diodes-SBD_SS34_C8678.html</t>
        </is>
      </c>
      <c r="I13" s="2" t="inlineStr"/>
    </row>
    <row r="14">
      <c r="A14" s="2" t="inlineStr">
        <is>
          <t>J1</t>
        </is>
      </c>
      <c r="B14" s="2" t="inlineStr">
        <is>
          <t>XH-2P-SMD</t>
        </is>
      </c>
      <c r="C14" s="2" t="inlineStr">
        <is>
          <t>easyeda2kicad:CONN-SMD_2P-P2.54_XH2.54-2AB</t>
        </is>
      </c>
      <c r="D14" s="2" t="inlineStr">
        <is>
          <t>1</t>
        </is>
      </c>
      <c r="E14" s="2" t="inlineStr"/>
      <c r="F14" s="2" t="inlineStr"/>
      <c r="G14" s="2" t="inlineStr"/>
      <c r="H14" s="2" t="inlineStr"/>
      <c r="I14" s="2" t="inlineStr"/>
    </row>
    <row r="15">
      <c r="A15" s="2" t="inlineStr">
        <is>
          <t>J2</t>
        </is>
      </c>
      <c r="B15" s="2" t="inlineStr">
        <is>
          <t>2.54-3P-LT</t>
        </is>
      </c>
      <c r="C15" s="2" t="inlineStr">
        <is>
          <t>easyeda2kicad:CONN-SMD_2.54-3P-LT</t>
        </is>
      </c>
      <c r="D15" s="2" t="inlineStr">
        <is>
          <t>1</t>
        </is>
      </c>
      <c r="E15" s="2" t="inlineStr"/>
      <c r="F15" s="2" t="inlineStr"/>
      <c r="G15" s="2" t="inlineStr"/>
      <c r="H15" s="2" t="inlineStr"/>
      <c r="I15" s="2" t="inlineStr"/>
    </row>
    <row r="16">
      <c r="A16" s="2" t="inlineStr">
        <is>
          <t>J3</t>
        </is>
      </c>
      <c r="B16" s="2" t="inlineStr">
        <is>
          <t>SIM_Card</t>
        </is>
      </c>
      <c r="C16" s="2" t="inlineStr">
        <is>
          <t>easyeda2kicad:SIM-SMD_SMN-303</t>
        </is>
      </c>
      <c r="D16" s="2" t="inlineStr">
        <is>
          <t>1</t>
        </is>
      </c>
      <c r="E16" s="2" t="inlineStr"/>
      <c r="F16" s="2" t="inlineStr"/>
      <c r="G16" s="2" t="inlineStr"/>
      <c r="H16" s="2" t="inlineStr"/>
      <c r="I16" s="2" t="inlineStr"/>
    </row>
    <row r="17">
      <c r="A17" s="2" t="inlineStr">
        <is>
          <t>L2,L3</t>
        </is>
      </c>
      <c r="B17" s="2" t="inlineStr">
        <is>
          <t>10uH</t>
        </is>
      </c>
      <c r="C17" s="2" t="inlineStr">
        <is>
          <t>easyeda2kicad:IND-SMD_L4.0-W4.0</t>
        </is>
      </c>
      <c r="D17" s="2" t="inlineStr">
        <is>
          <t>2</t>
        </is>
      </c>
      <c r="E17" s="2" t="inlineStr"/>
      <c r="F17" s="2" t="inlineStr"/>
      <c r="G17" s="2" t="inlineStr"/>
      <c r="H17" s="2" t="inlineStr"/>
      <c r="I17" s="2" t="inlineStr"/>
    </row>
    <row r="18">
      <c r="A18" s="2" t="inlineStr">
        <is>
          <t>L4,L5</t>
        </is>
      </c>
      <c r="B18" s="2" t="inlineStr">
        <is>
          <t>2.2uH</t>
        </is>
      </c>
      <c r="C18" s="2" t="inlineStr">
        <is>
          <t>easyeda2kicad:IND-SMD_L4.0-W4.0_NRS4018T</t>
        </is>
      </c>
      <c r="D18" s="2" t="inlineStr">
        <is>
          <t>2</t>
        </is>
      </c>
      <c r="E18" s="2" t="inlineStr"/>
      <c r="F18" s="2" t="inlineStr"/>
      <c r="G18" s="2" t="inlineStr"/>
      <c r="H18" s="2" t="inlineStr"/>
      <c r="I18" s="2" t="inlineStr"/>
    </row>
    <row r="19">
      <c r="A19" s="2" t="inlineStr">
        <is>
          <t>L6</t>
        </is>
      </c>
      <c r="B19" s="2" t="inlineStr">
        <is>
          <t>4.7nH</t>
        </is>
      </c>
      <c r="C19" s="2" t="inlineStr">
        <is>
          <t>easyeda2kicad:L0402-R-RD</t>
        </is>
      </c>
      <c r="D19" s="2" t="inlineStr">
        <is>
          <t>1</t>
        </is>
      </c>
      <c r="E19" s="2" t="inlineStr"/>
      <c r="F19" s="2" t="inlineStr"/>
      <c r="G19" s="2" t="inlineStr"/>
      <c r="H19" s="2" t="inlineStr"/>
      <c r="I19" s="2" t="inlineStr"/>
    </row>
    <row r="20">
      <c r="A20" s="2" t="inlineStr">
        <is>
          <t>LED1,LED2</t>
        </is>
      </c>
      <c r="B20" s="2" t="inlineStr">
        <is>
          <t>19-237/R6GHBHC-A01/2T</t>
        </is>
      </c>
      <c r="C20" s="2" t="inlineStr">
        <is>
          <t>easyeda2kicad:LED-ARRAY-SMD_4P-L1.6-W1.6-BL_1</t>
        </is>
      </c>
      <c r="D20" s="2" t="inlineStr">
        <is>
          <t>2</t>
        </is>
      </c>
      <c r="E20" s="2" t="inlineStr">
        <is>
          <t>EVERLIGHT(亿光)</t>
        </is>
      </c>
      <c r="F20" s="2" t="inlineStr">
        <is>
          <t>19-237/R6GHBHC-A01/2T</t>
        </is>
      </c>
      <c r="G20" s="2" t="inlineStr">
        <is>
          <t>C60105</t>
        </is>
      </c>
      <c r="H20" s="2" t="inlineStr">
        <is>
          <t>https://lcsc.com/product-detail/Light-Emitting-Diodes-LED_19-237-R6GHBHC-A01-2T_C60105.html</t>
        </is>
      </c>
      <c r="I20" s="2" t="inlineStr"/>
    </row>
    <row r="21">
      <c r="A21" s="2" t="inlineStr">
        <is>
          <t>P1</t>
        </is>
      </c>
      <c r="B21" s="2" t="inlineStr">
        <is>
          <t>USB_C_Plug_USB2.0</t>
        </is>
      </c>
      <c r="C21" s="2" t="inlineStr">
        <is>
          <t>easyeda2kicad:TYPE-C-SMD_TYPE-C-6P_1</t>
        </is>
      </c>
      <c r="D21" s="2" t="inlineStr">
        <is>
          <t>1</t>
        </is>
      </c>
      <c r="E21" s="2" t="inlineStr"/>
      <c r="F21" s="2" t="inlineStr"/>
      <c r="G21" s="2" t="inlineStr"/>
      <c r="H21" s="2" t="inlineStr">
        <is>
          <t>https://www.usb.org/sites/default/files/documents/usb_type-c.zip</t>
        </is>
      </c>
      <c r="I21" s="2" t="inlineStr"/>
    </row>
    <row r="22">
      <c r="A22" s="2" t="inlineStr">
        <is>
          <t>Q1,Q2,Q4</t>
        </is>
      </c>
      <c r="B22" s="2" t="inlineStr">
        <is>
          <t>BSS84</t>
        </is>
      </c>
      <c r="C22" s="2" t="inlineStr">
        <is>
          <t>Package_TO_SOT_SMD:SOT-23</t>
        </is>
      </c>
      <c r="D22" s="2" t="inlineStr">
        <is>
          <t>3</t>
        </is>
      </c>
      <c r="E22" s="2" t="inlineStr"/>
      <c r="F22" s="2" t="inlineStr"/>
      <c r="G22" s="2" t="inlineStr"/>
      <c r="H22" s="2" t="inlineStr">
        <is>
          <t>http://assets.nexperia.com/documents/data-sheet/BSS84.pdf</t>
        </is>
      </c>
      <c r="I22" s="2" t="inlineStr"/>
    </row>
    <row r="23">
      <c r="A23" s="2" t="inlineStr">
        <is>
          <t>Q3,Q5,Q6</t>
        </is>
      </c>
      <c r="B23" s="2" t="inlineStr">
        <is>
          <t>2N7002</t>
        </is>
      </c>
      <c r="C23" s="2" t="inlineStr">
        <is>
          <t>Package_TO_SOT_SMD:SOT-23</t>
        </is>
      </c>
      <c r="D23" s="2" t="inlineStr">
        <is>
          <t>3</t>
        </is>
      </c>
      <c r="E23" s="2" t="inlineStr"/>
      <c r="F23" s="2" t="inlineStr"/>
      <c r="G23" s="2" t="inlineStr"/>
      <c r="H23" s="2" t="inlineStr">
        <is>
          <t>https://www.onsemi.com/pub/Collateral/NDS7002A-D.PDF</t>
        </is>
      </c>
      <c r="I23" s="2" t="inlineStr"/>
    </row>
    <row r="24">
      <c r="A24" s="2" t="inlineStr">
        <is>
          <t>R1</t>
        </is>
      </c>
      <c r="B24" s="2" t="inlineStr">
        <is>
          <t>47k</t>
        </is>
      </c>
      <c r="C24" s="2" t="inlineStr">
        <is>
          <t>Resistor_SMD:R_0402_1005Metric</t>
        </is>
      </c>
      <c r="D24" s="2" t="inlineStr">
        <is>
          <t>1</t>
        </is>
      </c>
      <c r="E24" s="2" t="inlineStr"/>
      <c r="F24" s="2" t="inlineStr"/>
      <c r="G24" s="2" t="inlineStr"/>
      <c r="H24" s="2" t="inlineStr"/>
      <c r="I24" s="2" t="inlineStr"/>
    </row>
    <row r="25">
      <c r="A25" s="2" t="inlineStr">
        <is>
          <t>R2</t>
        </is>
      </c>
      <c r="B25" s="2" t="inlineStr">
        <is>
          <t>150k</t>
        </is>
      </c>
      <c r="C25" s="2" t="inlineStr">
        <is>
          <t>Resistor_SMD:R_0402_1005Metric</t>
        </is>
      </c>
      <c r="D25" s="2" t="inlineStr">
        <is>
          <t>1</t>
        </is>
      </c>
      <c r="E25" s="2" t="inlineStr"/>
      <c r="F25" s="2" t="inlineStr"/>
      <c r="G25" s="2" t="inlineStr"/>
      <c r="H25" s="2" t="inlineStr"/>
      <c r="I25" s="2" t="inlineStr"/>
    </row>
    <row r="26">
      <c r="A26" s="2" t="inlineStr">
        <is>
          <t>R3,R4,R20,R22</t>
        </is>
      </c>
      <c r="B26" s="2" t="inlineStr">
        <is>
          <t>10k</t>
        </is>
      </c>
      <c r="C26" s="2" t="inlineStr">
        <is>
          <t>Resistor_SMD:R_0402_1005Metric</t>
        </is>
      </c>
      <c r="D26" s="2" t="inlineStr">
        <is>
          <t>4</t>
        </is>
      </c>
      <c r="E26" s="2" t="inlineStr"/>
      <c r="F26" s="2" t="inlineStr"/>
      <c r="G26" s="2" t="inlineStr"/>
      <c r="H26" s="2" t="inlineStr"/>
      <c r="I26" s="2" t="inlineStr"/>
    </row>
    <row r="27">
      <c r="A27" s="2" t="inlineStr">
        <is>
          <t>R5,R6,R28</t>
        </is>
      </c>
      <c r="B27" s="2" t="inlineStr">
        <is>
          <t>330</t>
        </is>
      </c>
      <c r="C27" s="2" t="inlineStr">
        <is>
          <t>Resistor_SMD:R_0402_1005Metric</t>
        </is>
      </c>
      <c r="D27" s="2" t="inlineStr">
        <is>
          <t>3</t>
        </is>
      </c>
      <c r="E27" s="2" t="inlineStr"/>
      <c r="F27" s="2" t="inlineStr"/>
      <c r="G27" s="2" t="inlineStr"/>
      <c r="H27" s="2" t="inlineStr"/>
      <c r="I27" s="2" t="inlineStr"/>
    </row>
    <row r="28">
      <c r="A28" s="2" t="inlineStr">
        <is>
          <t>R7-R14</t>
        </is>
      </c>
      <c r="B28" s="2" t="inlineStr">
        <is>
          <t>4.7</t>
        </is>
      </c>
      <c r="C28" s="2" t="inlineStr">
        <is>
          <t>Resistor_SMD:R_0402_1005Metric</t>
        </is>
      </c>
      <c r="D28" s="2" t="inlineStr">
        <is>
          <t>8</t>
        </is>
      </c>
      <c r="E28" s="2" t="inlineStr"/>
      <c r="F28" s="2" t="inlineStr"/>
      <c r="G28" s="2" t="inlineStr"/>
      <c r="H28" s="2" t="inlineStr"/>
      <c r="I28" s="2" t="inlineStr"/>
    </row>
    <row r="29">
      <c r="A29" s="2" t="inlineStr">
        <is>
          <t>R15</t>
        </is>
      </c>
      <c r="B29" s="2" t="inlineStr">
        <is>
          <t>5.1k</t>
        </is>
      </c>
      <c r="C29" s="2" t="inlineStr">
        <is>
          <t>Resistor_SMD:R_0402_1005Metric</t>
        </is>
      </c>
      <c r="D29" s="2" t="inlineStr">
        <is>
          <t>1</t>
        </is>
      </c>
      <c r="E29" s="2" t="inlineStr"/>
      <c r="F29" s="2" t="inlineStr"/>
      <c r="G29" s="2" t="inlineStr"/>
      <c r="H29" s="2" t="inlineStr"/>
      <c r="I29" s="2" t="inlineStr"/>
    </row>
    <row r="30">
      <c r="A30" s="2" t="inlineStr">
        <is>
          <t>R16,R17</t>
        </is>
      </c>
      <c r="B30" s="2" t="inlineStr">
        <is>
          <t>22R</t>
        </is>
      </c>
      <c r="C30" s="2" t="inlineStr">
        <is>
          <t>Resistor_SMD:R_0402_1005Metric</t>
        </is>
      </c>
      <c r="D30" s="2" t="inlineStr">
        <is>
          <t>2</t>
        </is>
      </c>
      <c r="E30" s="2" t="inlineStr"/>
      <c r="F30" s="2" t="inlineStr"/>
      <c r="G30" s="2" t="inlineStr"/>
      <c r="H30" s="2" t="inlineStr"/>
      <c r="I30" s="2" t="inlineStr"/>
    </row>
    <row r="31">
      <c r="A31" s="2" t="inlineStr">
        <is>
          <t>R18,R23,R24</t>
        </is>
      </c>
      <c r="B31" s="2" t="inlineStr">
        <is>
          <t>100R</t>
        </is>
      </c>
      <c r="C31" s="2" t="inlineStr">
        <is>
          <t>Resistor_SMD:R_0402_1005Metric</t>
        </is>
      </c>
      <c r="D31" s="2" t="inlineStr">
        <is>
          <t>3</t>
        </is>
      </c>
      <c r="E31" s="2" t="inlineStr"/>
      <c r="F31" s="2" t="inlineStr"/>
      <c r="G31" s="2" t="inlineStr"/>
      <c r="H31" s="2" t="inlineStr"/>
      <c r="I31" s="2" t="inlineStr"/>
    </row>
    <row r="32">
      <c r="A32" s="2" t="inlineStr">
        <is>
          <t>R19</t>
        </is>
      </c>
      <c r="B32" s="2" t="inlineStr">
        <is>
          <t>191k</t>
        </is>
      </c>
      <c r="C32" s="2" t="inlineStr">
        <is>
          <t>Resistor_SMD:R_0402_1005Metric</t>
        </is>
      </c>
      <c r="D32" s="2" t="inlineStr">
        <is>
          <t>1</t>
        </is>
      </c>
      <c r="E32" s="2" t="inlineStr"/>
      <c r="F32" s="2" t="inlineStr"/>
      <c r="G32" s="2" t="inlineStr"/>
      <c r="H32" s="2" t="inlineStr"/>
      <c r="I32" s="2" t="inlineStr"/>
    </row>
    <row r="33">
      <c r="A33" s="2" t="inlineStr">
        <is>
          <t>R21</t>
        </is>
      </c>
      <c r="B33" s="2" t="inlineStr">
        <is>
          <t>240k</t>
        </is>
      </c>
      <c r="C33" s="2" t="inlineStr">
        <is>
          <t>Resistor_SMD:R_0402_1005Metric</t>
        </is>
      </c>
      <c r="D33" s="2" t="inlineStr">
        <is>
          <t>1</t>
        </is>
      </c>
      <c r="E33" s="2" t="inlineStr"/>
      <c r="F33" s="2" t="inlineStr"/>
      <c r="G33" s="2" t="inlineStr"/>
      <c r="H33" s="2" t="inlineStr"/>
      <c r="I33" s="2" t="inlineStr"/>
    </row>
    <row r="34">
      <c r="A34" s="2" t="inlineStr">
        <is>
          <t>R25</t>
        </is>
      </c>
      <c r="B34" s="2" t="inlineStr">
        <is>
          <t>100k</t>
        </is>
      </c>
      <c r="C34" s="2" t="inlineStr">
        <is>
          <t>Resistor_SMD:R_0402_1005Metric</t>
        </is>
      </c>
      <c r="D34" s="2" t="inlineStr">
        <is>
          <t>1</t>
        </is>
      </c>
      <c r="E34" s="2" t="inlineStr"/>
      <c r="F34" s="2" t="inlineStr"/>
      <c r="G34" s="2" t="inlineStr"/>
      <c r="H34" s="2" t="inlineStr"/>
      <c r="I34" s="2" t="inlineStr"/>
    </row>
    <row r="35">
      <c r="A35" s="2" t="inlineStr">
        <is>
          <t>R26,R27</t>
        </is>
      </c>
      <c r="B35" s="2" t="inlineStr">
        <is>
          <t>4.7k</t>
        </is>
      </c>
      <c r="C35" s="2" t="inlineStr">
        <is>
          <t>Resistor_SMD:R_0402_1005Metric</t>
        </is>
      </c>
      <c r="D35" s="2" t="inlineStr">
        <is>
          <t>2</t>
        </is>
      </c>
      <c r="E35" s="2" t="inlineStr"/>
      <c r="F35" s="2" t="inlineStr"/>
      <c r="G35" s="2" t="inlineStr"/>
      <c r="H35" s="2" t="inlineStr"/>
      <c r="I35" s="2" t="inlineStr"/>
    </row>
    <row r="36">
      <c r="A36" s="2" t="inlineStr">
        <is>
          <t>RV1</t>
        </is>
      </c>
      <c r="B36" s="2" t="inlineStr">
        <is>
          <t>10k</t>
        </is>
      </c>
      <c r="C36" s="2" t="inlineStr">
        <is>
          <t>easyeda2kicad:RES-ADJ-SMD_3P-L3.0-W3.8-P1.75-BR</t>
        </is>
      </c>
      <c r="D36" s="2" t="inlineStr">
        <is>
          <t>1</t>
        </is>
      </c>
      <c r="E36" s="2" t="inlineStr"/>
      <c r="F36" s="2" t="inlineStr"/>
      <c r="G36" s="2" t="inlineStr"/>
      <c r="H36" s="2" t="inlineStr"/>
      <c r="I36" s="2" t="inlineStr"/>
    </row>
    <row r="37">
      <c r="A37" s="2" t="inlineStr">
        <is>
          <t>SW1</t>
        </is>
      </c>
      <c r="B37" s="2" t="inlineStr">
        <is>
          <t>SW_Push</t>
        </is>
      </c>
      <c r="C37" s="2" t="inlineStr">
        <is>
          <t>easyeda2kicad:KEY-SMD_4P-L4.2-W3.2-P2.20-LS4.6</t>
        </is>
      </c>
      <c r="D37" s="2" t="inlineStr">
        <is>
          <t>1</t>
        </is>
      </c>
      <c r="E37" s="2" t="inlineStr"/>
      <c r="F37" s="2" t="inlineStr"/>
      <c r="G37" s="2" t="inlineStr"/>
      <c r="H37" s="2" t="inlineStr"/>
      <c r="I37" s="2" t="inlineStr"/>
    </row>
    <row r="38">
      <c r="A38" s="2" t="inlineStr">
        <is>
          <t>TH1</t>
        </is>
      </c>
      <c r="B38" s="2" t="inlineStr">
        <is>
          <t>Thermistor</t>
        </is>
      </c>
      <c r="C38" s="2" t="inlineStr">
        <is>
          <t>Resistor_SMD:R_0402_1005Metric</t>
        </is>
      </c>
      <c r="D38" s="2" t="inlineStr">
        <is>
          <t>1</t>
        </is>
      </c>
      <c r="E38" s="2" t="inlineStr"/>
      <c r="F38" s="2" t="inlineStr"/>
      <c r="G38" s="2" t="inlineStr"/>
      <c r="H38" s="2" t="inlineStr"/>
      <c r="I38" s="2" t="inlineStr"/>
    </row>
    <row r="39">
      <c r="A39" s="2" t="inlineStr">
        <is>
          <t>U1</t>
        </is>
      </c>
      <c r="B39" s="2" t="inlineStr">
        <is>
          <t>nRF52840</t>
        </is>
      </c>
      <c r="C39" s="2" t="inlineStr">
        <is>
          <t>Package_DFN_QFN:Nordic_AQFN-73-1EP_7x7mm_P0.5mm</t>
        </is>
      </c>
      <c r="D39" s="2" t="inlineStr">
        <is>
          <t>1</t>
        </is>
      </c>
      <c r="E39" s="2" t="inlineStr"/>
      <c r="F39" s="2" t="inlineStr"/>
      <c r="G39" s="2" t="inlineStr"/>
      <c r="H39" s="2" t="inlineStr">
        <is>
          <t>http://infocenter.nordicsemi.com/topic/com.nordic.infocenter.nrf52/dita/nrf52/chips/nrf52840.html</t>
        </is>
      </c>
      <c r="I39" s="2" t="inlineStr"/>
    </row>
    <row r="40">
      <c r="A40" s="2" t="inlineStr">
        <is>
          <t>U2</t>
        </is>
      </c>
      <c r="B40" s="2" t="inlineStr">
        <is>
          <t>NRF9151-LACA-R7</t>
        </is>
      </c>
      <c r="C40" s="2" t="inlineStr">
        <is>
          <t>easyeda2kicad:LGA-113_L12.1-W11.1_NRF9151-LACA-R7</t>
        </is>
      </c>
      <c r="D40" s="2" t="inlineStr">
        <is>
          <t>1</t>
        </is>
      </c>
      <c r="E40" s="2" t="inlineStr">
        <is>
          <t>NORDIC</t>
        </is>
      </c>
      <c r="F40" s="2" t="inlineStr">
        <is>
          <t>nRF9151-SICA</t>
        </is>
      </c>
      <c r="G40" s="2" t="inlineStr">
        <is>
          <t>C22397843</t>
        </is>
      </c>
      <c r="H40" s="2" t="inlineStr">
        <is>
          <t>https://www.lcsc.com/datasheet/C22397843.pdf</t>
        </is>
      </c>
      <c r="I40" s="2" t="inlineStr"/>
    </row>
    <row r="41">
      <c r="A41" s="2" t="inlineStr">
        <is>
          <t>U3</t>
        </is>
      </c>
      <c r="B41" s="2" t="inlineStr">
        <is>
          <t>NPM1300</t>
        </is>
      </c>
      <c r="C41" s="2" t="inlineStr">
        <is>
          <t>easyeda2kicad:BGA-35_L3.1-W2.4-R5-C7-P0.42_NPM1300-CAAA-R</t>
        </is>
      </c>
      <c r="D41" s="2" t="inlineStr">
        <is>
          <t>1</t>
        </is>
      </c>
      <c r="E41" s="2" t="inlineStr">
        <is>
          <t>NORDIC</t>
        </is>
      </c>
      <c r="F41" s="2" t="inlineStr">
        <is>
          <t>NPM1300-CAAA-R7</t>
        </is>
      </c>
      <c r="G41" s="2" t="inlineStr">
        <is>
          <t>C25346894</t>
        </is>
      </c>
      <c r="H41" s="2" t="inlineStr">
        <is>
          <t>https://www.lcsc.com/datasheet/C25346894.pdf</t>
        </is>
      </c>
      <c r="I41" s="2" t="inlineStr"/>
    </row>
    <row r="42">
      <c r="A42" s="2" t="inlineStr">
        <is>
          <t>U4</t>
        </is>
      </c>
      <c r="B42" s="2" t="inlineStr">
        <is>
          <t>BMA400</t>
        </is>
      </c>
      <c r="C42" s="2" t="inlineStr">
        <is>
          <t>easyeda2kicad:LGA-12_L2.0-W2.0-P0.50-BL</t>
        </is>
      </c>
      <c r="D42" s="2" t="inlineStr">
        <is>
          <t>1</t>
        </is>
      </c>
      <c r="E42" s="2" t="inlineStr">
        <is>
          <t>Bosch(博世)</t>
        </is>
      </c>
      <c r="F42" s="2" t="inlineStr">
        <is>
          <t>BMA400</t>
        </is>
      </c>
      <c r="G42" s="2" t="inlineStr">
        <is>
          <t>C437655</t>
        </is>
      </c>
      <c r="H42" s="2" t="inlineStr">
        <is>
          <t>https://lcsc.com/product-detail/Motion-Sensors-Accelerometers_Bosch-Sensortec-BMA400_C437655.html</t>
        </is>
      </c>
      <c r="I42" s="2" t="inlineStr"/>
    </row>
    <row r="43">
      <c r="A43" s="2" t="inlineStr">
        <is>
          <t>U6,U10</t>
        </is>
      </c>
      <c r="B43" s="2" t="inlineStr">
        <is>
          <t>BWU.FL-IPEX1</t>
        </is>
      </c>
      <c r="C43" s="2" t="inlineStr">
        <is>
          <t>easyeda2kicad:IPEX-SMD_BWIPX-1-001E</t>
        </is>
      </c>
      <c r="D43" s="2" t="inlineStr">
        <is>
          <t>2</t>
        </is>
      </c>
      <c r="E43" s="2" t="inlineStr">
        <is>
          <t>BAT WIRELESS(蝙蝠无线)</t>
        </is>
      </c>
      <c r="F43" s="2" t="inlineStr">
        <is>
          <t>BWU.FL-IPEX1</t>
        </is>
      </c>
      <c r="G43" s="2" t="inlineStr">
        <is>
          <t>C5137195</t>
        </is>
      </c>
      <c r="H43" s="2" t="inlineStr">
        <is>
          <t>https://www.lcsc.com/datasheet/C5137195.pdf</t>
        </is>
      </c>
      <c r="I43" s="2" t="inlineStr"/>
    </row>
    <row r="44">
      <c r="A44" s="2" t="inlineStr">
        <is>
          <t>U7</t>
        </is>
      </c>
      <c r="B44" s="2" t="inlineStr">
        <is>
          <t>AN6520-245</t>
        </is>
      </c>
      <c r="C44" s="2" t="inlineStr">
        <is>
          <t>easyeda2kicad:ANT-SMD_L6.5-W2.0</t>
        </is>
      </c>
      <c r="D44" s="2" t="inlineStr">
        <is>
          <t>1</t>
        </is>
      </c>
      <c r="E44" s="2" t="inlineStr">
        <is>
          <t>Rainsun(霖昱微)</t>
        </is>
      </c>
      <c r="F44" s="2" t="inlineStr">
        <is>
          <t>AN6520-245</t>
        </is>
      </c>
      <c r="G44" s="2" t="inlineStr">
        <is>
          <t>C239238</t>
        </is>
      </c>
      <c r="H44" s="2" t="inlineStr">
        <is>
          <t>https://lcsc.com/product-detail/Others_Rainsun-microwave-Tech-AN6520-245_C239238.html</t>
        </is>
      </c>
      <c r="I44" s="2" t="inlineStr"/>
    </row>
    <row r="45">
      <c r="A45" s="2" t="inlineStr">
        <is>
          <t>U8</t>
        </is>
      </c>
      <c r="B45" s="2" t="inlineStr">
        <is>
          <t>SEN0348_CONN</t>
        </is>
      </c>
      <c r="C45" s="2" t="inlineStr">
        <is>
          <t>easyeda2kicad:CONN-SMD_SM06B-SRSS-TB-LF-SN</t>
        </is>
      </c>
      <c r="D45" s="2" t="inlineStr">
        <is>
          <t>1</t>
        </is>
      </c>
      <c r="E45" s="2" t="inlineStr">
        <is>
          <t>JST</t>
        </is>
      </c>
      <c r="F45" s="2" t="inlineStr">
        <is>
          <t>SM06B-SRSS-TB(LF)(SN)</t>
        </is>
      </c>
      <c r="G45" s="2" t="inlineStr">
        <is>
          <t>C160405</t>
        </is>
      </c>
      <c r="H45" s="2" t="inlineStr">
        <is>
          <t>https://lcsc.com/product-detail/Others_JST-Sales-America__JST-Sales-America-SM06B-SRSS-TB-LF-SN_C160405.html</t>
        </is>
      </c>
      <c r="I45" s="2" t="inlineStr"/>
    </row>
    <row r="46">
      <c r="A46" s="2" t="inlineStr">
        <is>
          <t>U9</t>
        </is>
      </c>
      <c r="B46" s="2" t="inlineStr">
        <is>
          <t>SM04B-SRSS-TB</t>
        </is>
      </c>
      <c r="C46" s="2" t="inlineStr">
        <is>
          <t>easyeda2kicad:CONN-SMD_4P-P1.00_SM04B-SRSS-TB-LF-SN</t>
        </is>
      </c>
      <c r="D46" s="2" t="inlineStr">
        <is>
          <t>1</t>
        </is>
      </c>
      <c r="E46" s="2" t="inlineStr">
        <is>
          <t>JST</t>
        </is>
      </c>
      <c r="F46" s="2" t="inlineStr">
        <is>
          <t>SM04B-SRSS-TB(LF)(SN)</t>
        </is>
      </c>
      <c r="G46" s="2" t="inlineStr">
        <is>
          <t>C160404</t>
        </is>
      </c>
      <c r="H46" s="2" t="inlineStr">
        <is>
          <t>https://lcsc.com/product-detail/C160404.html</t>
        </is>
      </c>
      <c r="I46" s="2" t="inlineStr"/>
    </row>
    <row r="47">
      <c r="A47" s="2" t="inlineStr">
        <is>
          <t>U11,U14</t>
        </is>
      </c>
      <c r="B47" s="2" t="inlineStr">
        <is>
          <t>HX PZ1.27-2x5P TP</t>
        </is>
      </c>
      <c r="C47" s="2" t="inlineStr">
        <is>
          <t>easyeda2kicad:HDR-SMD_10P-P1.27-V-M-R2-C5-LS5.5_1</t>
        </is>
      </c>
      <c r="D47" s="2" t="inlineStr">
        <is>
          <t>2</t>
        </is>
      </c>
      <c r="E47" s="2" t="inlineStr">
        <is>
          <t>hanxia</t>
        </is>
      </c>
      <c r="F47" s="2" t="inlineStr">
        <is>
          <t>HX PZ1.27-2x5P TP</t>
        </is>
      </c>
      <c r="G47" s="2" t="inlineStr">
        <is>
          <t>C41376037</t>
        </is>
      </c>
      <c r="H47" s="2" t="inlineStr">
        <is>
          <t>https://www.lcsc.com/datasheet/C41376037.pdf</t>
        </is>
      </c>
      <c r="I47" s="2" t="inlineStr"/>
    </row>
    <row r="48">
      <c r="A48" s="2" t="inlineStr">
        <is>
          <t>U12,U13</t>
        </is>
      </c>
      <c r="B48" s="2" t="inlineStr">
        <is>
          <t>MT3608</t>
        </is>
      </c>
      <c r="C48" s="2" t="inlineStr">
        <is>
          <t>easyeda2kicad:SOT-23-6_L2.9-W1.6-P0.95-LS2.8-BL</t>
        </is>
      </c>
      <c r="D48" s="2" t="inlineStr">
        <is>
          <t>2</t>
        </is>
      </c>
      <c r="E48" s="2" t="inlineStr">
        <is>
          <t>西安航天民芯</t>
        </is>
      </c>
      <c r="F48" s="2" t="inlineStr">
        <is>
          <t>MT3608</t>
        </is>
      </c>
      <c r="G48" s="2" t="inlineStr">
        <is>
          <t>C84817</t>
        </is>
      </c>
      <c r="H48" s="2" t="inlineStr">
        <is>
          <t>https://lcsc.com/product-detail/DC-DC-Converters_MT3608_C84817.html</t>
        </is>
      </c>
      <c r="I48" s="2" t="inlineStr"/>
    </row>
    <row r="49">
      <c r="A49" s="2" t="inlineStr">
        <is>
          <t>Y1</t>
        </is>
      </c>
      <c r="B49" s="2" t="inlineStr">
        <is>
          <t>32MHz</t>
        </is>
      </c>
      <c r="C49" s="2" t="inlineStr">
        <is>
          <t>easyeda2kicad:CRYSTAL-SMD_4P-L2.0-W1.6-BL</t>
        </is>
      </c>
      <c r="D49" s="2" t="inlineStr">
        <is>
          <t>1</t>
        </is>
      </c>
      <c r="E49" s="2" t="inlineStr"/>
      <c r="F49" s="2" t="inlineStr"/>
      <c r="G49" s="2" t="inlineStr"/>
      <c r="H49" s="2" t="inlineStr"/>
      <c r="I49" s="2" t="inlineStr"/>
    </row>
  </sheetData>
  <autoFilter ref="A1:I4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10" customWidth="1" min="3" max="3"/>
    <col width="55" customWidth="1" min="4" max="4"/>
    <col width="12" customWidth="1" min="5" max="5"/>
    <col width="14" customWidth="1" min="6" max="6"/>
    <col width="11" customWidth="1" min="7" max="7"/>
    <col width="17" customWidth="1" min="8" max="8"/>
  </cols>
  <sheetData>
    <row r="1">
      <c r="A1" s="1" t="inlineStr">
        <is>
          <t>Line Item</t>
        </is>
      </c>
      <c r="B1" s="1" t="inlineStr">
        <is>
          <t>Part No.</t>
        </is>
      </c>
      <c r="C1" s="1" t="inlineStr">
        <is>
          <t>Qty</t>
        </is>
      </c>
      <c r="D1" s="1" t="inlineStr">
        <is>
          <t>Description</t>
        </is>
      </c>
      <c r="E1" s="1" t="inlineStr">
        <is>
          <t>Unit Price</t>
        </is>
      </c>
      <c r="F1" s="1" t="inlineStr">
        <is>
          <t>Amount</t>
        </is>
      </c>
      <c r="G1" s="1" t="inlineStr">
        <is>
          <t>Supplier</t>
        </is>
      </c>
      <c r="H1" s="1" t="inlineStr">
        <is>
          <t>Package</t>
        </is>
      </c>
    </row>
    <row r="2">
      <c r="A2" s="2" t="n">
        <v>1</v>
      </c>
      <c r="B2" s="2" t="inlineStr">
        <is>
          <t>1490-NRF9151-DK-ND</t>
        </is>
      </c>
      <c r="C2" s="2" t="n">
        <v>1</v>
      </c>
      <c r="D2" s="2" t="inlineStr">
        <is>
          <t>EVAL BOARD FOR NRF9151</t>
        </is>
      </c>
      <c r="E2" s="2" t="n">
        <v>102.43</v>
      </c>
      <c r="F2" s="2">
        <f>E2*C2</f>
        <v/>
      </c>
      <c r="G2" s="2" t="inlineStr">
        <is>
          <t>Digikey</t>
        </is>
      </c>
      <c r="H2" s="2" t="inlineStr">
        <is>
          <t>Dev Kit</t>
        </is>
      </c>
    </row>
    <row r="3">
      <c r="A3" s="2" t="n">
        <v>2</v>
      </c>
      <c r="B3" s="2" t="inlineStr">
        <is>
          <t>1528-1551-ND</t>
        </is>
      </c>
      <c r="C3" s="2" t="n">
        <v>1</v>
      </c>
      <c r="D3" s="2" t="inlineStr">
        <is>
          <t>SOLENOID PULL INTERMITTENT 12V</t>
        </is>
      </c>
      <c r="E3" s="2" t="n">
        <v>7.5</v>
      </c>
      <c r="F3" s="2">
        <f>E3*C3</f>
        <v/>
      </c>
      <c r="G3" s="2" t="inlineStr">
        <is>
          <t>Digikey</t>
        </is>
      </c>
      <c r="H3" s="2" t="inlineStr">
        <is>
          <t>TH</t>
        </is>
      </c>
    </row>
    <row r="4">
      <c r="A4" s="2" t="n">
        <v>3</v>
      </c>
      <c r="B4" s="2" t="inlineStr">
        <is>
          <t>1738-SEN0348-ND</t>
        </is>
      </c>
      <c r="C4" s="2" t="n">
        <v>1</v>
      </c>
      <c r="D4" s="2" t="inlineStr">
        <is>
          <t>SENSOR CAP/FINGERPRINT UART OUT</t>
        </is>
      </c>
      <c r="E4" s="2" t="n">
        <v>22.9</v>
      </c>
      <c r="F4" s="2">
        <f>E4*C4</f>
        <v/>
      </c>
      <c r="G4" s="2" t="inlineStr">
        <is>
          <t>Digikey</t>
        </is>
      </c>
      <c r="H4" s="2" t="inlineStr">
        <is>
          <t>Module</t>
        </is>
      </c>
    </row>
    <row r="5">
      <c r="A5" s="2" t="n">
        <v>4</v>
      </c>
      <c r="B5" s="2" t="inlineStr">
        <is>
          <t>2223-CEB-35035-L100-ND</t>
        </is>
      </c>
      <c r="C5" s="2" t="n">
        <v>4</v>
      </c>
      <c r="D5" s="2" t="inlineStr">
        <is>
          <t>IEZO DISC 35X.35MM, LEAD WIRES</t>
        </is>
      </c>
      <c r="E5" s="2" t="n">
        <v>1.34</v>
      </c>
      <c r="F5" s="2">
        <f>E5*C5</f>
        <v/>
      </c>
      <c r="G5" s="2" t="inlineStr">
        <is>
          <t>Digikey</t>
        </is>
      </c>
      <c r="H5" s="2" t="inlineStr">
        <is>
          <t>TH (lead wires)</t>
        </is>
      </c>
    </row>
    <row r="6">
      <c r="A6" s="2" t="n">
        <v>5</v>
      </c>
      <c r="B6" s="2" t="inlineStr">
        <is>
          <t>SIM Test Kit</t>
        </is>
      </c>
      <c r="C6" s="2" t="n">
        <v>1</v>
      </c>
      <c r="D6" s="2" t="inlineStr">
        <is>
          <t>Multi-format SIM with 1 GB of global data, valid for 12 months.</t>
        </is>
      </c>
      <c r="E6" s="2" t="n">
        <v>17.42</v>
      </c>
      <c r="F6" s="2">
        <f>E6*C6</f>
        <v/>
      </c>
      <c r="G6" s="2" t="inlineStr">
        <is>
          <t>IoT Cards</t>
        </is>
      </c>
      <c r="H6" s="2" t="inlineStr">
        <is>
          <t>—</t>
        </is>
      </c>
    </row>
    <row r="7">
      <c r="A7" s="2" t="n">
        <v>6</v>
      </c>
      <c r="B7" s="2" t="inlineStr">
        <is>
          <t>931-FXP301.A.001-ND</t>
        </is>
      </c>
      <c r="C7" s="2" t="n">
        <v>1</v>
      </c>
      <c r="D7" s="2" t="inlineStr">
        <is>
          <t>FXP301 2-IN-1 GNSS AND CELLULAR</t>
        </is>
      </c>
      <c r="E7" s="2" t="n">
        <v>5.46</v>
      </c>
      <c r="F7" s="2">
        <f>E7*C7</f>
        <v/>
      </c>
      <c r="G7" s="2" t="inlineStr">
        <is>
          <t>Digikey</t>
        </is>
      </c>
      <c r="H7" s="2" t="inlineStr">
        <is>
          <t>Flex PCB</t>
        </is>
      </c>
    </row>
    <row r="8">
      <c r="A8" s="2" t="n">
        <v>7</v>
      </c>
      <c r="B8" s="2" t="inlineStr">
        <is>
          <t>C22397843</t>
        </is>
      </c>
      <c r="C8" s="2" t="n">
        <v>1</v>
      </c>
      <c r="D8" s="2" t="inlineStr">
        <is>
          <t>NORDIC nRF9151 LTE-M/GNSS SoC LGA-113</t>
        </is>
      </c>
      <c r="E8" s="2" t="n">
        <v>16.28</v>
      </c>
      <c r="F8" s="2">
        <f>E8*C8</f>
        <v/>
      </c>
      <c r="G8" s="2" t="inlineStr">
        <is>
          <t>JLCPCB</t>
        </is>
      </c>
      <c r="H8" s="2" t="inlineStr">
        <is>
          <t>LGA-113</t>
        </is>
      </c>
    </row>
    <row r="9">
      <c r="A9" s="2" t="n">
        <v>8</v>
      </c>
      <c r="B9" s="2" t="inlineStr">
        <is>
          <t>C160405</t>
        </is>
      </c>
      <c r="C9" s="2" t="n">
        <v>5</v>
      </c>
      <c r="D9" s="2" t="inlineStr">
        <is>
          <t>JST SH 1mm 6P SMD horizontal connector</t>
        </is>
      </c>
      <c r="E9" s="2" t="n">
        <v>0.3003</v>
      </c>
      <c r="F9" s="2">
        <f>E9*C9</f>
        <v/>
      </c>
      <c r="G9" s="2" t="inlineStr">
        <is>
          <t>JLCPCB</t>
        </is>
      </c>
      <c r="H9" s="2" t="inlineStr">
        <is>
          <t>SM06B-SRSS-TB</t>
        </is>
      </c>
    </row>
    <row r="10">
      <c r="A10" s="2" t="n">
        <v>9</v>
      </c>
      <c r="B10" s="2" t="inlineStr">
        <is>
          <t>C187794</t>
        </is>
      </c>
      <c r="C10" s="2" t="n">
        <v>5</v>
      </c>
      <c r="D10" s="2" t="inlineStr">
        <is>
          <t>32MHz crystal 8pF ±10ppm SMD2016</t>
        </is>
      </c>
      <c r="E10" s="2" t="n">
        <v>0.2336</v>
      </c>
      <c r="F10" s="2">
        <f>E10*C10</f>
        <v/>
      </c>
      <c r="G10" s="2" t="inlineStr">
        <is>
          <t>JLCPCB</t>
        </is>
      </c>
      <c r="H10" s="2" t="inlineStr">
        <is>
          <t>SMD2016-4P</t>
        </is>
      </c>
    </row>
    <row r="11">
      <c r="A11" s="2" t="n">
        <v>10</v>
      </c>
      <c r="B11" s="2" t="inlineStr">
        <is>
          <t>C131337</t>
        </is>
      </c>
      <c r="C11" s="2" t="n">
        <v>20</v>
      </c>
      <c r="D11" s="2" t="inlineStr">
        <is>
          <t>JST PH 2mm 2P through-hole connector</t>
        </is>
      </c>
      <c r="E11" s="2" t="n">
        <v>0.035</v>
      </c>
      <c r="F11" s="2">
        <f>E11*C11</f>
        <v/>
      </c>
      <c r="G11" s="2" t="inlineStr">
        <is>
          <t>JLCPCB</t>
        </is>
      </c>
      <c r="H11" s="2" t="inlineStr">
        <is>
          <t>TH 2.0mm</t>
        </is>
      </c>
    </row>
    <row r="12">
      <c r="A12" s="2" t="n">
        <v>11</v>
      </c>
      <c r="B12" s="2" t="inlineStr">
        <is>
          <t>C266888</t>
        </is>
      </c>
      <c r="C12" s="2" t="n">
        <v>1</v>
      </c>
      <c r="D12" s="2" t="inlineStr">
        <is>
          <t>Nano-SIM push-push w/ card detect SMD</t>
        </is>
      </c>
      <c r="E12" s="2" t="n">
        <v>0.4693</v>
      </c>
      <c r="F12" s="2">
        <f>E12*C12</f>
        <v/>
      </c>
      <c r="G12" s="2" t="inlineStr">
        <is>
          <t>JLCPCB</t>
        </is>
      </c>
      <c r="H12" s="2" t="inlineStr">
        <is>
          <t>SMD push-push</t>
        </is>
      </c>
    </row>
    <row r="13">
      <c r="A13" s="2" t="n">
        <v>12</v>
      </c>
      <c r="B13" s="2" t="inlineStr">
        <is>
          <t>C5137195</t>
        </is>
      </c>
      <c r="C13" s="2" t="n">
        <v>10</v>
      </c>
      <c r="D13" s="2" t="inlineStr">
        <is>
          <t>U.FL/IPEX1 50Ω SMD coaxial connector</t>
        </is>
      </c>
      <c r="E13" s="2" t="n">
        <v>0.038</v>
      </c>
      <c r="F13" s="2">
        <f>E13*C13</f>
        <v/>
      </c>
      <c r="G13" s="2" t="inlineStr">
        <is>
          <t>JLCPCB</t>
        </is>
      </c>
      <c r="H13" s="2" t="inlineStr">
        <is>
          <t>U.FL/IPEX1</t>
        </is>
      </c>
    </row>
    <row r="14">
      <c r="A14" s="2" t="n">
        <v>13</v>
      </c>
      <c r="B14" s="2" t="inlineStr">
        <is>
          <t>C456012</t>
        </is>
      </c>
      <c r="C14" s="2" t="n">
        <v>10</v>
      </c>
      <c r="D14" s="2" t="inlineStr">
        <is>
          <t>USB Type-C 6P SMD right-angle connector</t>
        </is>
      </c>
      <c r="E14" s="2" t="n">
        <v>0.037</v>
      </c>
      <c r="F14" s="2">
        <f>E14*C14</f>
        <v/>
      </c>
      <c r="G14" s="2" t="inlineStr">
        <is>
          <t>JLCPCB</t>
        </is>
      </c>
      <c r="H14" s="2" t="inlineStr">
        <is>
          <t>SMD 6P</t>
        </is>
      </c>
    </row>
    <row r="15">
      <c r="A15" s="2" t="n">
        <v>14</v>
      </c>
      <c r="B15" s="2" t="inlineStr">
        <is>
          <t>C2827688</t>
        </is>
      </c>
      <c r="C15" s="2" t="n">
        <v>10</v>
      </c>
      <c r="D15" s="2" t="inlineStr">
        <is>
          <t>USB ESD protection 5V SOT-143</t>
        </is>
      </c>
      <c r="E15" s="2" t="n">
        <v>0.0613</v>
      </c>
      <c r="F15" s="2">
        <f>E15*C15</f>
        <v/>
      </c>
      <c r="G15" s="2" t="inlineStr">
        <is>
          <t>JLCPCB</t>
        </is>
      </c>
      <c r="H15" s="2" t="inlineStr">
        <is>
          <t>SOT-143</t>
        </is>
      </c>
    </row>
    <row r="16">
      <c r="A16" s="2" t="n">
        <v>15</v>
      </c>
      <c r="B16" s="2" t="inlineStr">
        <is>
          <t>C2128</t>
        </is>
      </c>
      <c r="C16" s="2" t="n">
        <v>50</v>
      </c>
      <c r="D16" s="2" t="inlineStr">
        <is>
          <t>Switching diode 100V 150mA SOD-323</t>
        </is>
      </c>
      <c r="E16" s="2" t="n">
        <v>0.0097</v>
      </c>
      <c r="F16" s="2">
        <f>E16*C16</f>
        <v/>
      </c>
      <c r="G16" s="2" t="inlineStr">
        <is>
          <t>JLCPCB</t>
        </is>
      </c>
      <c r="H16" s="2" t="inlineStr">
        <is>
          <t>SOD-323</t>
        </is>
      </c>
    </row>
    <row r="17">
      <c r="A17" s="2" t="n">
        <v>16</v>
      </c>
      <c r="B17" s="2" t="inlineStr">
        <is>
          <t>C3018484</t>
        </is>
      </c>
      <c r="C17" s="2" t="n">
        <v>20</v>
      </c>
      <c r="D17" s="2" t="inlineStr">
        <is>
          <t>FUXINSEMI BSS84 P-ch MOSFET 50V 130mA SOT-23</t>
        </is>
      </c>
      <c r="E17" s="2" t="n">
        <v>0.0201</v>
      </c>
      <c r="F17" s="2">
        <f>E17*C17</f>
        <v/>
      </c>
      <c r="G17" s="2" t="inlineStr">
        <is>
          <t>JLCPCB</t>
        </is>
      </c>
      <c r="H17" s="2" t="inlineStr">
        <is>
          <t>SOT-23</t>
        </is>
      </c>
    </row>
    <row r="18">
      <c r="A18" s="2" t="n">
        <v>17</v>
      </c>
      <c r="B18" s="2" t="inlineStr">
        <is>
          <t>C84817</t>
        </is>
      </c>
      <c r="C18" s="2" t="n">
        <v>10</v>
      </c>
      <c r="D18" s="2" t="inlineStr">
        <is>
          <t>Boost DC-DC 2–24V in 28V out 2A SOT-23-6</t>
        </is>
      </c>
      <c r="E18" s="2" t="n">
        <v>0.0786</v>
      </c>
      <c r="F18" s="2">
        <f>E18*C18</f>
        <v/>
      </c>
      <c r="G18" s="2" t="inlineStr">
        <is>
          <t>JLCPCB</t>
        </is>
      </c>
      <c r="H18" s="2" t="inlineStr">
        <is>
          <t>SOT-23-6</t>
        </is>
      </c>
    </row>
    <row r="19">
      <c r="A19" s="2" t="n">
        <v>18</v>
      </c>
      <c r="B19" s="2" t="inlineStr">
        <is>
          <t>C25346894</t>
        </is>
      </c>
      <c r="C19" s="2" t="n">
        <v>1</v>
      </c>
      <c r="D19" s="2" t="inlineStr">
        <is>
          <t>Nordic nPM1300 PMIC WLCSP-35</t>
        </is>
      </c>
      <c r="E19" s="2" t="n">
        <v>2.5838</v>
      </c>
      <c r="F19" s="2">
        <f>E19*C19</f>
        <v/>
      </c>
      <c r="G19" s="2" t="inlineStr">
        <is>
          <t>JLCPCB</t>
        </is>
      </c>
      <c r="H19" s="2" t="inlineStr">
        <is>
          <t>WLCSP-35</t>
        </is>
      </c>
    </row>
    <row r="20">
      <c r="A20" s="2" t="n">
        <v>19</v>
      </c>
      <c r="B20" s="2" t="inlineStr">
        <is>
          <t>C437655</t>
        </is>
      </c>
      <c r="C20" s="2" t="n">
        <v>1</v>
      </c>
      <c r="D20" s="2" t="inlineStr">
        <is>
          <t>Bosch BMA400 3-axis accelerometer LGA-12</t>
        </is>
      </c>
      <c r="E20" s="2" t="n">
        <v>3.0566</v>
      </c>
      <c r="F20" s="2">
        <f>E20*C20</f>
        <v/>
      </c>
      <c r="G20" s="2" t="inlineStr">
        <is>
          <t>JLCPCB</t>
        </is>
      </c>
      <c r="H20" s="2" t="inlineStr">
        <is>
          <t>LGA-12 (2×2mm)</t>
        </is>
      </c>
    </row>
    <row r="21">
      <c r="A21" s="2" t="n">
        <v>20</v>
      </c>
      <c r="B21" s="2" t="inlineStr">
        <is>
          <t>C190794</t>
        </is>
      </c>
      <c r="C21" s="2" t="n">
        <v>1</v>
      </c>
      <c r="D21" s="2" t="inlineStr">
        <is>
          <t>Nordic nRF52840-QIAA-R BLE SoC AQFN-73</t>
        </is>
      </c>
      <c r="E21" s="2" t="n">
        <v>5.392</v>
      </c>
      <c r="F21" s="2">
        <f>E21*C21</f>
        <v/>
      </c>
      <c r="G21" s="2" t="inlineStr">
        <is>
          <t>JLCPCB</t>
        </is>
      </c>
      <c r="H21" s="2" t="inlineStr">
        <is>
          <t>AQFN-73</t>
        </is>
      </c>
    </row>
    <row r="22">
      <c r="A22" s="2" t="n">
        <v>21</v>
      </c>
      <c r="B22" s="2" t="inlineStr">
        <is>
          <t>C8545</t>
        </is>
      </c>
      <c r="C22" s="2" t="n">
        <v>50</v>
      </c>
      <c r="D22" s="2" t="inlineStr">
        <is>
          <t>2N7002 N-ch MOSFET 60V 300mA SOT-23</t>
        </is>
      </c>
      <c r="E22" s="2" t="n">
        <v>0.0153</v>
      </c>
      <c r="F22" s="2">
        <f>E22*C22</f>
        <v/>
      </c>
      <c r="G22" s="2" t="inlineStr">
        <is>
          <t>JLCPCB</t>
        </is>
      </c>
      <c r="H22" s="2" t="inlineStr">
        <is>
          <t>SOT-23</t>
        </is>
      </c>
    </row>
    <row r="23">
      <c r="A23" s="2" t="n">
        <v>22</v>
      </c>
      <c r="B23" s="2" t="inlineStr">
        <is>
          <t>C97604</t>
        </is>
      </c>
      <c r="C23" s="2" t="n">
        <v>5</v>
      </c>
      <c r="D23" s="2" t="inlineStr">
        <is>
          <t>Seiko 32.768kHz crystal ±20ppm 7pF SMD3215</t>
        </is>
      </c>
      <c r="E23" s="2" t="n">
        <v>0.1757</v>
      </c>
      <c r="F23" s="2">
        <f>E23*C23</f>
        <v/>
      </c>
      <c r="G23" s="2" t="inlineStr">
        <is>
          <t>JLCPCB</t>
        </is>
      </c>
      <c r="H23" s="2" t="inlineStr">
        <is>
          <t>SMD3215-2P</t>
        </is>
      </c>
    </row>
    <row r="24">
      <c r="A24" s="2" t="n">
        <v>23</v>
      </c>
      <c r="B24" s="2" t="inlineStr">
        <is>
          <t>TBD</t>
        </is>
      </c>
      <c r="C24" s="2" t="n">
        <v>2</v>
      </c>
      <c r="D24" s="2" t="inlineStr">
        <is>
          <t>4.7kΩ ±1% 0.1W resistor, 0402</t>
        </is>
      </c>
      <c r="E24" s="2" t="n">
        <v>0.0011</v>
      </c>
      <c r="F24" s="2">
        <f>E24*C24</f>
        <v/>
      </c>
      <c r="G24" s="2" t="inlineStr">
        <is>
          <t>JLCPCB</t>
        </is>
      </c>
      <c r="H24" s="2" t="inlineStr">
        <is>
          <t>0402</t>
        </is>
      </c>
    </row>
    <row r="25">
      <c r="A25" s="2" t="n">
        <v>24</v>
      </c>
      <c r="B25" s="2" t="inlineStr">
        <is>
          <t>TBD</t>
        </is>
      </c>
      <c r="C25" s="2" t="n">
        <v>100</v>
      </c>
      <c r="D25" s="2" t="inlineStr">
        <is>
          <t>100Ω ±1% 0.1W resistor, 0402</t>
        </is>
      </c>
      <c r="E25" s="2" t="n">
        <v>0.0012</v>
      </c>
      <c r="F25" s="2">
        <f>E25*C25</f>
        <v/>
      </c>
      <c r="G25" s="2" t="inlineStr">
        <is>
          <t>JLCPCB</t>
        </is>
      </c>
      <c r="H25" s="2" t="inlineStr">
        <is>
          <t>0402</t>
        </is>
      </c>
    </row>
    <row r="26">
      <c r="A26" s="2" t="n">
        <v>25</v>
      </c>
      <c r="B26" s="2" t="inlineStr">
        <is>
          <t>TBD</t>
        </is>
      </c>
      <c r="C26" s="2" t="n">
        <v>1</v>
      </c>
      <c r="D26" s="2" t="inlineStr">
        <is>
          <t>2.2Ω ±5% 0.1W resistor, 0402</t>
        </is>
      </c>
      <c r="E26" s="2" t="n">
        <v>0.0011</v>
      </c>
      <c r="F26" s="2">
        <f>E26*C26</f>
        <v/>
      </c>
      <c r="G26" s="2" t="inlineStr">
        <is>
          <t>JLCPCB</t>
        </is>
      </c>
      <c r="H26" s="2" t="inlineStr">
        <is>
          <t>0402</t>
        </is>
      </c>
    </row>
    <row r="27">
      <c r="A27" s="2" t="n">
        <v>26</v>
      </c>
      <c r="B27" s="2" t="inlineStr">
        <is>
          <t>C77131</t>
        </is>
      </c>
      <c r="C27" s="2" t="n">
        <v>50</v>
      </c>
      <c r="D27" s="2" t="inlineStr">
        <is>
          <t>Murata NCP15XH103F03RC NTC 10kΩ B=3380K 0402</t>
        </is>
      </c>
      <c r="E27" s="2" t="n">
        <v>0.02</v>
      </c>
      <c r="F27" s="2">
        <f>E27*C27</f>
        <v/>
      </c>
      <c r="G27" s="2" t="inlineStr">
        <is>
          <t>JLCPCB</t>
        </is>
      </c>
      <c r="H27" s="2" t="inlineStr">
        <is>
          <t>0402</t>
        </is>
      </c>
    </row>
    <row r="28">
      <c r="A28" s="2" t="n">
        <v>27</v>
      </c>
      <c r="B28" s="2" t="inlineStr">
        <is>
          <t>TBD</t>
        </is>
      </c>
      <c r="C28" s="2" t="n">
        <v>2</v>
      </c>
      <c r="D28" s="2" t="inlineStr">
        <is>
          <t>1.5µH ±20% power inductor ≥3A, SMD 3×3mm</t>
        </is>
      </c>
      <c r="E28" s="2" t="n">
        <v>0.048</v>
      </c>
      <c r="F28" s="2">
        <f>E28*C28</f>
        <v/>
      </c>
      <c r="G28" s="2" t="inlineStr">
        <is>
          <t>JLCPCB</t>
        </is>
      </c>
      <c r="H28" s="2" t="inlineStr">
        <is>
          <t>SMD 3×3mm</t>
        </is>
      </c>
    </row>
    <row r="29">
      <c r="A29" s="2" t="n">
        <v>28</v>
      </c>
      <c r="B29" s="2" t="inlineStr">
        <is>
          <t>C2843891</t>
        </is>
      </c>
      <c r="C29" s="2" t="n">
        <v>10</v>
      </c>
      <c r="D29" s="2" t="inlineStr">
        <is>
          <t>XINGLIGHT XL-3030UWC-1W-3V 6500K strobe LED SMD3030 (×4 array)</t>
        </is>
      </c>
      <c r="E29" s="2" t="n">
        <v>0.0425</v>
      </c>
      <c r="F29" s="2">
        <f>E29*C29</f>
        <v/>
      </c>
      <c r="G29" s="2" t="inlineStr">
        <is>
          <t>JLCPCB</t>
        </is>
      </c>
      <c r="H29" s="2" t="inlineStr">
        <is>
          <t>SMD3030</t>
        </is>
      </c>
    </row>
    <row r="30">
      <c r="A30" s="2" t="n">
        <v>29</v>
      </c>
      <c r="B30" s="2" t="inlineStr">
        <is>
          <t>TBD</t>
        </is>
      </c>
      <c r="C30" s="2" t="n">
        <v>1</v>
      </c>
      <c r="D30" s="2" t="inlineStr">
        <is>
          <t>4.7µH ±20% power inductor ≥1.3A, SMD 4×4mm</t>
        </is>
      </c>
      <c r="E30" s="2" t="n">
        <v>0.0911</v>
      </c>
      <c r="F30" s="2">
        <f>E30*C30</f>
        <v/>
      </c>
      <c r="G30" s="2" t="inlineStr">
        <is>
          <t>JLCPCB</t>
        </is>
      </c>
      <c r="H30" s="2" t="inlineStr">
        <is>
          <t>SMD 4×4mm</t>
        </is>
      </c>
    </row>
    <row r="31">
      <c r="A31" s="2" t="n">
        <v>30</v>
      </c>
      <c r="B31" s="2" t="inlineStr">
        <is>
          <t>C8678</t>
        </is>
      </c>
      <c r="C31" s="2" t="n">
        <v>20</v>
      </c>
      <c r="D31" s="2" t="inlineStr">
        <is>
          <t>SS34 Schottky diode 40V 3A SMA (MT3608 rectifier)</t>
        </is>
      </c>
      <c r="E31" s="2" t="n">
        <v>0.0302</v>
      </c>
      <c r="F31" s="2">
        <f>E31*C31</f>
        <v/>
      </c>
      <c r="G31" s="2" t="inlineStr">
        <is>
          <t>JLCPCB</t>
        </is>
      </c>
      <c r="H31" s="2" t="inlineStr">
        <is>
          <t>SMA (DO-214AC)</t>
        </is>
      </c>
    </row>
    <row r="32">
      <c r="A32" s="2" t="n">
        <v>31</v>
      </c>
      <c r="B32" s="2" t="inlineStr">
        <is>
          <t>C64043</t>
        </is>
      </c>
      <c r="C32" s="2" t="n">
        <v>100</v>
      </c>
      <c r="D32" s="2" t="inlineStr">
        <is>
          <t>240kΩ ±1% 62.5mW 0402 resistor (MT3608 R1, sets 15V out)</t>
        </is>
      </c>
      <c r="E32" s="2" t="n">
        <v>0.001</v>
      </c>
      <c r="F32" s="2">
        <f>E32*C32</f>
        <v/>
      </c>
      <c r="G32" s="2" t="inlineStr">
        <is>
          <t>JLCPCB</t>
        </is>
      </c>
      <c r="H32" s="2" t="inlineStr">
        <is>
          <t>0402</t>
        </is>
      </c>
    </row>
    <row r="33">
      <c r="A33" s="2" t="n">
        <v>32</v>
      </c>
      <c r="B33" s="2" t="inlineStr">
        <is>
          <t>TBD</t>
        </is>
      </c>
      <c r="C33" s="2" t="n">
        <v>100</v>
      </c>
      <c r="D33" s="2" t="inlineStr">
        <is>
          <t>10kΩ ±1% 0.1W resistor, 0402</t>
        </is>
      </c>
      <c r="E33" s="2" t="n">
        <v>0.0028</v>
      </c>
      <c r="F33" s="2">
        <f>E33*C33</f>
        <v/>
      </c>
      <c r="G33" s="2" t="inlineStr">
        <is>
          <t>JLCPCB</t>
        </is>
      </c>
      <c r="H33" s="2" t="inlineStr">
        <is>
          <t>0402</t>
        </is>
      </c>
    </row>
    <row r="34">
      <c r="A34" s="2" t="n">
        <v>33</v>
      </c>
      <c r="B34" s="2" t="inlineStr">
        <is>
          <t>TBD</t>
        </is>
      </c>
      <c r="C34" s="2" t="n">
        <v>10</v>
      </c>
      <c r="D34" s="2" t="inlineStr">
        <is>
          <t>22µF 16V X5R ±20% MLCC, 0805</t>
        </is>
      </c>
      <c r="E34" s="2" t="n">
        <v>0.0857</v>
      </c>
      <c r="F34" s="2">
        <f>E34*C34</f>
        <v/>
      </c>
      <c r="G34" s="2" t="inlineStr">
        <is>
          <t>JLCPCB</t>
        </is>
      </c>
      <c r="H34" s="2" t="inlineStr">
        <is>
          <t>0805</t>
        </is>
      </c>
    </row>
    <row r="35">
      <c r="A35" s="2" t="n">
        <v>34</v>
      </c>
      <c r="B35" s="2" t="inlineStr">
        <is>
          <t>C52306</t>
        </is>
      </c>
      <c r="C35" s="2" t="n">
        <v>2</v>
      </c>
      <c r="D35" s="2" t="inlineStr">
        <is>
          <t>22µF 25V X5R ±10% 1210 MLCC (MT3608 COUT, rated &gt;15V output)</t>
        </is>
      </c>
      <c r="E35" s="2" t="n">
        <v>0.1826</v>
      </c>
      <c r="F35" s="2">
        <f>E35*C35</f>
        <v/>
      </c>
      <c r="G35" s="2" t="inlineStr">
        <is>
          <t>JLCPCB</t>
        </is>
      </c>
      <c r="H35" s="2" t="inlineStr">
        <is>
          <t>1210</t>
        </is>
      </c>
    </row>
    <row r="36">
      <c r="A36" s="2" t="n">
        <v>35</v>
      </c>
      <c r="B36" s="2" t="inlineStr">
        <is>
          <t>C53084453</t>
        </is>
      </c>
      <c r="C36" s="2" t="n">
        <v>100</v>
      </c>
      <c r="D36" s="2" t="inlineStr">
        <is>
          <t>100nF 50V X7R ±20% 0402 MLCC (decoupling: nRF52840×8, nRF9151×6, nPM1300×4, BMA400×2)</t>
        </is>
      </c>
      <c r="E36" s="2" t="n">
        <v>0.0021</v>
      </c>
      <c r="F36" s="2">
        <f>E36*C36</f>
        <v/>
      </c>
      <c r="G36" s="2" t="inlineStr">
        <is>
          <t>JLCPCB</t>
        </is>
      </c>
      <c r="H36" s="2" t="inlineStr">
        <is>
          <t>0402</t>
        </is>
      </c>
    </row>
    <row r="37">
      <c r="A37" s="2" t="n">
        <v>36</v>
      </c>
      <c r="B37" s="2" t="inlineStr">
        <is>
          <t>C106254</t>
        </is>
      </c>
      <c r="C37" s="2" t="n">
        <v>100</v>
      </c>
      <c r="D37" s="2" t="inlineStr">
        <is>
          <t>1µF 10V X5R ±10% 0402 MLCC Basic (bulk bypass: nRF52840×2, nRF9151×2, nPM1300×2)</t>
        </is>
      </c>
      <c r="E37" s="2" t="n">
        <v>0.0055</v>
      </c>
      <c r="F37" s="2">
        <f>E37*C37</f>
        <v/>
      </c>
      <c r="G37" s="2" t="inlineStr">
        <is>
          <t>JLCPCB</t>
        </is>
      </c>
      <c r="H37" s="2" t="inlineStr">
        <is>
          <t>0402</t>
        </is>
      </c>
    </row>
    <row r="38">
      <c r="A38" s="2" t="n">
        <v>37</v>
      </c>
      <c r="B38" s="2" t="inlineStr">
        <is>
          <t>C109456</t>
        </is>
      </c>
      <c r="C38" s="2" t="n">
        <v>50</v>
      </c>
      <c r="D38" s="2" t="inlineStr">
        <is>
          <t>4.7µF 10V X5R ±10% 0603 MLCC (nPM1300 BUCK1/BUCK2 in/out caps)</t>
        </is>
      </c>
      <c r="E38" s="2" t="n">
        <v>0.021</v>
      </c>
      <c r="F38" s="2">
        <f>E38*C38</f>
        <v/>
      </c>
      <c r="G38" s="2" t="inlineStr">
        <is>
          <t>JLCPCB</t>
        </is>
      </c>
      <c r="H38" s="2" t="inlineStr">
        <is>
          <t>0603</t>
        </is>
      </c>
    </row>
    <row r="39">
      <c r="A39" s="2" t="n">
        <v>38</v>
      </c>
      <c r="B39" s="2" t="inlineStr">
        <is>
          <t>C466222</t>
        </is>
      </c>
      <c r="C39" s="2" t="n">
        <v>50</v>
      </c>
      <c r="D39" s="2" t="inlineStr">
        <is>
          <t>10pF 50V C0G ±5% 0402 MLCC (HFXO 32MHz crystal load caps, CL=8pF)</t>
        </is>
      </c>
      <c r="E39" s="2" t="n">
        <v>0.0016</v>
      </c>
      <c r="F39" s="2">
        <f>E39*C39</f>
        <v/>
      </c>
      <c r="G39" s="2" t="inlineStr">
        <is>
          <t>JLCPCB</t>
        </is>
      </c>
      <c r="H39" s="2" t="inlineStr">
        <is>
          <t>0402</t>
        </is>
      </c>
    </row>
    <row r="40">
      <c r="A40" s="2" t="n">
        <v>39</v>
      </c>
      <c r="B40" s="2" t="inlineStr">
        <is>
          <t>C41361096</t>
        </is>
      </c>
      <c r="C40" s="2" t="n">
        <v>100</v>
      </c>
      <c r="D40" s="2" t="inlineStr">
        <is>
          <t>5pF 50V C0G 0402 MLCC (LFXO 32.768kHz load caps ×2 crystals, CL=7pF)</t>
        </is>
      </c>
      <c r="E40" s="2" t="n">
        <v>0.0016</v>
      </c>
      <c r="F40" s="2">
        <f>E40*C40</f>
        <v/>
      </c>
      <c r="G40" s="2" t="inlineStr">
        <is>
          <t>JLCPCB</t>
        </is>
      </c>
      <c r="H40" s="2" t="inlineStr">
        <is>
          <t>0402</t>
        </is>
      </c>
    </row>
    <row r="41">
      <c r="A41" s="2" t="n">
        <v>40</v>
      </c>
      <c r="B41" s="2" t="inlineStr">
        <is>
          <t>TBD</t>
        </is>
      </c>
      <c r="C41" s="2" t="n">
        <v>1</v>
      </c>
      <c r="D41" s="2" t="inlineStr">
        <is>
          <t>LiPo 800–1000mAh 3.7V flat pouch cell, JST-PH 2mm — source externally (not JLCPCB)</t>
        </is>
      </c>
      <c r="E41" s="2" t="n"/>
      <c r="F41" s="2">
        <f>E41*C41</f>
        <v/>
      </c>
      <c r="G41" s="2" t="inlineStr">
        <is>
          <t>TBD</t>
        </is>
      </c>
      <c r="H41" s="2" t="inlineStr">
        <is>
          <t>—</t>
        </is>
      </c>
    </row>
    <row r="42">
      <c r="A42" s="2" t="n"/>
      <c r="B42" s="2" t="n"/>
      <c r="C42" s="2" t="n"/>
      <c r="D42" s="2" t="n"/>
      <c r="E42" s="2" t="inlineStr">
        <is>
          <t>TOTAL</t>
        </is>
      </c>
      <c r="F42" s="2">
        <f>SUM(F2:F41)</f>
        <v/>
      </c>
      <c r="G42" s="2" t="n"/>
      <c r="H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</row>
    <row r="44">
      <c r="A44" s="2" t="n"/>
      <c r="B44" s="2" t="n"/>
      <c r="C44" s="2" t="n"/>
      <c r="D44" s="2" t="inlineStr">
        <is>
          <t>SEGGER J-Link EDU Mini - JTAG/SWD Debugger</t>
        </is>
      </c>
      <c r="E44" s="2" t="n"/>
      <c r="F44" s="2" t="n"/>
      <c r="G44" s="2" t="n"/>
      <c r="H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</row>
  </sheetData>
  <autoFilter ref="A1:H53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55" customWidth="1" min="4" max="4"/>
    <col width="12" customWidth="1" min="5" max="5"/>
    <col width="10" customWidth="1" min="6" max="6"/>
    <col width="13" customWidth="1" min="7" max="7"/>
  </cols>
  <sheetData>
    <row r="1">
      <c r="A1" s="1" t="inlineStr">
        <is>
          <t>Parts Type</t>
        </is>
      </c>
      <c r="B1" s="1" t="inlineStr">
        <is>
          <t>JLCPCB Part #</t>
        </is>
      </c>
      <c r="C1" s="1" t="inlineStr">
        <is>
          <t>MFR Part #</t>
        </is>
      </c>
      <c r="D1" s="1" t="inlineStr">
        <is>
          <t>Description</t>
        </is>
      </c>
      <c r="E1" s="1" t="inlineStr">
        <is>
          <t>Unit Price</t>
        </is>
      </c>
      <c r="F1" s="1" t="inlineStr">
        <is>
          <t>Qty</t>
        </is>
      </c>
      <c r="G1" s="1" t="inlineStr">
        <is>
          <t>Total Price</t>
        </is>
      </c>
    </row>
    <row r="2">
      <c r="A2" s="2" t="inlineStr">
        <is>
          <t>stock</t>
        </is>
      </c>
      <c r="B2" s="2" t="inlineStr">
        <is>
          <t>C8678</t>
        </is>
      </c>
      <c r="C2" s="2" t="inlineStr">
        <is>
          <t>SS34</t>
        </is>
      </c>
      <c r="D2" s="2" t="inlineStr">
        <is>
          <t>-55℃~+125℃ 3A 40V 500uA@40V 550mV@3A Independent SMA(DO-214AC) Schottky Diodes ROHS</t>
        </is>
      </c>
      <c r="E2" s="2" t="n">
        <v>0.0301</v>
      </c>
      <c r="F2" s="2" t="n">
        <v>1</v>
      </c>
      <c r="G2" s="2" t="n">
        <v>0.04</v>
      </c>
    </row>
    <row r="3">
      <c r="A3" s="2" t="inlineStr">
        <is>
          <t>stock</t>
        </is>
      </c>
      <c r="B3" s="2" t="inlineStr">
        <is>
          <t>C41361096</t>
        </is>
      </c>
      <c r="C3" s="2" t="inlineStr">
        <is>
          <t>CGA0402C0G5R0C500GT</t>
        </is>
      </c>
      <c r="D3" s="2" t="inlineStr">
        <is>
          <t>50V 5pF C0G 0402 Multilayer Ceramic Capacitors MLCC - SMD/SMT ROHS</t>
        </is>
      </c>
      <c r="E3" s="2" t="n">
        <v>0.0016</v>
      </c>
      <c r="F3" s="2" t="n">
        <v>1</v>
      </c>
      <c r="G3" s="2" t="n">
        <v>0.01</v>
      </c>
    </row>
    <row r="4">
      <c r="A4" s="2" t="inlineStr">
        <is>
          <t>stock</t>
        </is>
      </c>
      <c r="B4" s="2" t="inlineStr">
        <is>
          <t>C466222</t>
        </is>
      </c>
      <c r="C4" s="2" t="inlineStr">
        <is>
          <t>TCC0402C0G100J500AT</t>
        </is>
      </c>
      <c r="D4" s="2" t="inlineStr">
        <is>
          <t>10pF 50V C0G ±5% 0402 Multilayer Ceramic Capacitors MLCC - SMD/SMT ROHS</t>
        </is>
      </c>
      <c r="E4" s="2" t="n">
        <v>0.0016</v>
      </c>
      <c r="F4" s="2" t="n">
        <v>1</v>
      </c>
      <c r="G4" s="2" t="n">
        <v>0.01</v>
      </c>
    </row>
    <row r="5">
      <c r="A5" s="2" t="inlineStr">
        <is>
          <t>stock</t>
        </is>
      </c>
      <c r="B5" s="2" t="inlineStr">
        <is>
          <t>C109456</t>
        </is>
      </c>
      <c r="C5" s="2" t="inlineStr">
        <is>
          <t>CC0603KRX5R6BB475</t>
        </is>
      </c>
      <c r="D5" s="2" t="inlineStr">
        <is>
          <t>10V 4.7uF X5R ±10% 0603 Multilayer Ceramic Capacitors MLCC - SMD/SMT ROHS</t>
        </is>
      </c>
      <c r="E5" s="2" t="n">
        <v>0.0209</v>
      </c>
      <c r="F5" s="2" t="n">
        <v>1</v>
      </c>
      <c r="G5" s="2" t="n">
        <v>0.03</v>
      </c>
    </row>
    <row r="6">
      <c r="A6" s="2" t="inlineStr">
        <is>
          <t>stock</t>
        </is>
      </c>
      <c r="B6" s="2" t="inlineStr">
        <is>
          <t>C106254</t>
        </is>
      </c>
      <c r="C6" s="2" t="inlineStr">
        <is>
          <t>CC0402KRX5R6BB105</t>
        </is>
      </c>
      <c r="D6" s="2" t="inlineStr">
        <is>
          <t>10V 1uF X5R ±10% 0402 Multilayer Ceramic Capacitors MLCC - SMD/SMT ROHS</t>
        </is>
      </c>
      <c r="E6" s="2" t="n">
        <v>0.0054</v>
      </c>
      <c r="F6" s="2" t="n">
        <v>1</v>
      </c>
      <c r="G6" s="2" t="n">
        <v>0.01</v>
      </c>
    </row>
    <row r="7">
      <c r="A7" s="2" t="inlineStr">
        <is>
          <t>stock</t>
        </is>
      </c>
      <c r="B7" s="2" t="inlineStr">
        <is>
          <t>C53084453</t>
        </is>
      </c>
      <c r="C7" s="2" t="inlineStr">
        <is>
          <t>CC0402X7R50V104MN</t>
        </is>
      </c>
      <c r="D7" s="2" t="inlineStr">
        <is>
          <t>100nF 50V X7R ±20% 0402 Multilayer Ceramic Capacitors MLCC - SMD/SMT ROHS</t>
        </is>
      </c>
      <c r="E7" s="2" t="n">
        <v>0.0021</v>
      </c>
      <c r="F7" s="2" t="n">
        <v>1</v>
      </c>
      <c r="G7" s="2" t="n">
        <v>0.01</v>
      </c>
    </row>
    <row r="8">
      <c r="A8" s="2" t="inlineStr">
        <is>
          <t>stock</t>
        </is>
      </c>
      <c r="B8" s="2" t="inlineStr">
        <is>
          <t>C52306</t>
        </is>
      </c>
      <c r="C8" s="2" t="inlineStr">
        <is>
          <t>CL32A226KAJNNNE</t>
        </is>
      </c>
      <c r="D8" s="2" t="inlineStr">
        <is>
          <t>22uF 25V X5R ±10% 1210 Multilayer Ceramic Capacitors MLCC - SMD/SMT ROHS</t>
        </is>
      </c>
      <c r="E8" s="2" t="n">
        <v>0.1814</v>
      </c>
      <c r="F8" s="2" t="n">
        <v>1</v>
      </c>
      <c r="G8" s="2" t="n">
        <v>0.19</v>
      </c>
    </row>
    <row r="9">
      <c r="A9" s="2" t="inlineStr">
        <is>
          <t>stock</t>
        </is>
      </c>
      <c r="B9" s="2" t="inlineStr">
        <is>
          <t>C128856</t>
        </is>
      </c>
      <c r="C9" s="2" t="inlineStr">
        <is>
          <t>CC0805MKX5R7BB226</t>
        </is>
      </c>
      <c r="D9" s="2" t="inlineStr">
        <is>
          <t>16V 22uF X5R ±20% 0805 Multilayer Ceramic Capacitors MLCC - SMD/SMT ROHS</t>
        </is>
      </c>
      <c r="E9" s="2" t="n">
        <v>0.0851</v>
      </c>
      <c r="F9" s="2" t="n">
        <v>1</v>
      </c>
      <c r="G9" s="2" t="n">
        <v>0.09</v>
      </c>
    </row>
    <row r="10">
      <c r="A10" s="2" t="inlineStr">
        <is>
          <t>stock</t>
        </is>
      </c>
      <c r="B10" s="2" t="inlineStr">
        <is>
          <t>C844452</t>
        </is>
      </c>
      <c r="C10" s="2" t="inlineStr">
        <is>
          <t>TNPW040210K0BEED</t>
        </is>
      </c>
      <c r="D10" s="2" t="inlineStr">
        <is>
          <t>-55℃~+155℃ 100mW 10kΩ Thin Film Resistor ±0.1% ±25ppm/℃ 0402 Chip Resistor - Surface Mount ROHS</t>
        </is>
      </c>
      <c r="E10" s="2" t="n">
        <v>0.0796</v>
      </c>
      <c r="F10" s="2" t="n">
        <v>1</v>
      </c>
      <c r="G10" s="2" t="n">
        <v>0.08</v>
      </c>
    </row>
    <row r="11">
      <c r="A11" s="2" t="inlineStr">
        <is>
          <t>stock</t>
        </is>
      </c>
      <c r="B11" s="2" t="inlineStr">
        <is>
          <t>C64043</t>
        </is>
      </c>
      <c r="C11" s="2" t="inlineStr">
        <is>
          <t>0402WGF2403TCE</t>
        </is>
      </c>
      <c r="D11" s="2" t="inlineStr">
        <is>
          <t>-55℃~+155℃ 240kΩ 50V 62.5mW Thick Film Resistor ±1% ±100ppm/℃ 0402 Chip Resistor - Surface Mount ROHS</t>
        </is>
      </c>
      <c r="E11" s="2" t="n">
        <v>0.001</v>
      </c>
      <c r="F11" s="2" t="n">
        <v>1</v>
      </c>
      <c r="G11" s="2" t="n">
        <v>0.01</v>
      </c>
    </row>
    <row r="12">
      <c r="A12" s="2" t="inlineStr">
        <is>
          <t>stock</t>
        </is>
      </c>
      <c r="B12" s="2" t="inlineStr">
        <is>
          <t>C98357</t>
        </is>
      </c>
      <c r="C12" s="2" t="inlineStr">
        <is>
          <t>WPN3012H4R7MT</t>
        </is>
      </c>
      <c r="D12" s="2" t="inlineStr">
        <is>
          <t>1.3A 235mΩ 2A 4.7uH ±20% SMD,3x3mm Power Inductors ROHS</t>
        </is>
      </c>
      <c r="E12" s="2" t="n">
        <v>0.078</v>
      </c>
      <c r="F12" s="2" t="n">
        <v>1</v>
      </c>
      <c r="G12" s="2" t="n">
        <v>0.08</v>
      </c>
    </row>
    <row r="13">
      <c r="A13" s="2" t="inlineStr">
        <is>
          <t>stock</t>
        </is>
      </c>
      <c r="B13" s="2" t="inlineStr">
        <is>
          <t>C2843891</t>
        </is>
      </c>
      <c r="C13" s="2" t="inlineStr">
        <is>
          <t>XL-3030UWC-1W-3V</t>
        </is>
      </c>
      <c r="D13" s="2" t="inlineStr">
        <is>
          <t>-40℃~+85℃ 120° 1W 3.4V 350mA 6500K~7000K Discrete Diode Top-mount White Yellow Lens SMD3030-2P LED Indication - Discrete ROHS</t>
        </is>
      </c>
      <c r="E13" s="2" t="n">
        <v>0.042</v>
      </c>
      <c r="F13" s="2" t="n">
        <v>1</v>
      </c>
      <c r="G13" s="2" t="n">
        <v>0.05</v>
      </c>
    </row>
    <row r="14">
      <c r="A14" s="2" t="inlineStr">
        <is>
          <t>stock</t>
        </is>
      </c>
      <c r="B14" s="2" t="inlineStr">
        <is>
          <t>C167824</t>
        </is>
      </c>
      <c r="C14" s="2" t="inlineStr">
        <is>
          <t>FNR4020S1R5MT</t>
        </is>
      </c>
      <c r="D14" s="2" t="inlineStr">
        <is>
          <t>1.5uH 3A 4.9A 46mΩ Magnetic Shielded Inductor ±20% SMD,4x4mm Power Inductors ROHS</t>
        </is>
      </c>
      <c r="E14" s="2" t="n">
        <v>0.0504</v>
      </c>
      <c r="F14" s="2" t="n">
        <v>1</v>
      </c>
      <c r="G14" s="2" t="n">
        <v>0.06</v>
      </c>
    </row>
    <row r="15">
      <c r="A15" s="2" t="inlineStr">
        <is>
          <t>stock</t>
        </is>
      </c>
      <c r="B15" s="2" t="inlineStr">
        <is>
          <t>C77131</t>
        </is>
      </c>
      <c r="C15" s="2" t="inlineStr">
        <is>
          <t>NCP15XH103F03RC</t>
        </is>
      </c>
      <c r="D15" s="2" t="inlineStr">
        <is>
          <t>-40℃~+125℃ 0.5mm 100mW 10kΩ 1mW/℃ 1mm 310uA 3380K 3434K 3455K ±1% ±1% 0402 NTC Thermistors ROHS</t>
        </is>
      </c>
      <c r="E15" s="2" t="n">
        <v>0.0199</v>
      </c>
      <c r="F15" s="2" t="n">
        <v>1</v>
      </c>
      <c r="G15" s="2" t="n">
        <v>0.02</v>
      </c>
    </row>
    <row r="16">
      <c r="A16" s="2" t="inlineStr">
        <is>
          <t>stock</t>
        </is>
      </c>
      <c r="B16" s="2" t="inlineStr">
        <is>
          <t>C412897</t>
        </is>
      </c>
      <c r="C16" s="2" t="inlineStr">
        <is>
          <t>ERJ2GEJ2R2X</t>
        </is>
      </c>
      <c r="D16" s="2" t="inlineStr">
        <is>
          <t>-100ppm/℃~+600ppm/℃ -55℃~+155℃ 100mW 2.2Ω Thick Film Resistor ±5% 0402 Chip Resistor - Surface Mount ROHS</t>
        </is>
      </c>
      <c r="E16" s="2" t="n">
        <v>0.0041</v>
      </c>
      <c r="F16" s="2" t="n">
        <v>1</v>
      </c>
      <c r="G16" s="2" t="n">
        <v>0.01</v>
      </c>
    </row>
    <row r="17">
      <c r="A17" s="2" t="inlineStr">
        <is>
          <t>stock</t>
        </is>
      </c>
      <c r="B17" s="2" t="inlineStr">
        <is>
          <t>C159942</t>
        </is>
      </c>
      <c r="C17" s="2" t="inlineStr">
        <is>
          <t>RK73H1ETTP1000F</t>
        </is>
      </c>
      <c r="D17" s="2" t="inlineStr">
        <is>
          <t>-55℃~+155℃ 100mW 100Ω 75V Thick Film Resistor ±1% ±100ppm/℃ 0402 Chip Resistor - Surface Mount ROHS</t>
        </is>
      </c>
      <c r="E17" s="2" t="n">
        <v>0.0042</v>
      </c>
      <c r="F17" s="2" t="n">
        <v>1</v>
      </c>
      <c r="G17" s="2" t="n">
        <v>0.01</v>
      </c>
    </row>
    <row r="18">
      <c r="A18" s="2" t="inlineStr">
        <is>
          <t>stock</t>
        </is>
      </c>
      <c r="B18" s="2" t="inlineStr">
        <is>
          <t>C159984</t>
        </is>
      </c>
      <c r="C18" s="2" t="inlineStr">
        <is>
          <t>RK73H1ETTP4701F</t>
        </is>
      </c>
      <c r="D18" s="2" t="inlineStr">
        <is>
          <t>-55℃~+155℃ 100mW 4.7kΩ 75V Thick Film Resistor ±1% ±100ppm/℃ 0402 Chip Resistor - Surface Mount ROHS</t>
        </is>
      </c>
      <c r="E18" s="2" t="n">
        <v>0.0037</v>
      </c>
      <c r="F18" s="2" t="n">
        <v>1</v>
      </c>
      <c r="G18" s="2" t="n">
        <v>0.01</v>
      </c>
    </row>
    <row r="19">
      <c r="A19" s="2" t="inlineStr">
        <is>
          <t>stock</t>
        </is>
      </c>
      <c r="B19" s="2" t="inlineStr">
        <is>
          <t>C97604</t>
        </is>
      </c>
      <c r="C19" s="2" t="inlineStr">
        <is>
          <t>SC-32S32.768kHz20PPM7pF</t>
        </is>
      </c>
      <c r="D19" s="2" t="inlineStr">
        <is>
          <t>32.768kHz 7pF ±20ppm SMD3215-2P Crystals ROHS</t>
        </is>
      </c>
      <c r="E19" s="2" t="n">
        <v>0.174</v>
      </c>
      <c r="F19" s="2" t="n">
        <v>1</v>
      </c>
      <c r="G19" s="2" t="n">
        <v>0.18</v>
      </c>
    </row>
    <row r="20">
      <c r="A20" s="2" t="inlineStr">
        <is>
          <t>stock</t>
        </is>
      </c>
      <c r="B20" s="2" t="inlineStr">
        <is>
          <t>C8545</t>
        </is>
      </c>
      <c r="C20" s="2" t="inlineStr">
        <is>
          <t>2N7002</t>
        </is>
      </c>
      <c r="D20" s="2" t="inlineStr">
        <is>
          <t>1 N-channel 115mA 2.5V 225mW 50pF 5pF 5Ω@10V 60V SOT-23 MOSFETs ROHS</t>
        </is>
      </c>
      <c r="E20" s="2" t="n">
        <v>0.0152</v>
      </c>
      <c r="F20" s="2" t="n">
        <v>1</v>
      </c>
      <c r="G20" s="2" t="n">
        <v>0.02</v>
      </c>
    </row>
    <row r="21">
      <c r="A21" s="2" t="inlineStr">
        <is>
          <t>stock</t>
        </is>
      </c>
      <c r="B21" s="2" t="inlineStr">
        <is>
          <t>C190794</t>
        </is>
      </c>
      <c r="C21" s="2" t="inlineStr">
        <is>
          <t>NRF52840-QIAA-R</t>
        </is>
      </c>
      <c r="D21" s="2" t="inlineStr">
        <is>
          <t>-95dBm 1.7V~5.5V 2.4GHz 2.4GHz~2.4835GHz 2Mbps 4.82mA 6.26mA 8dBm SPI、USB、UART、ADC、I2S、PWM ZigBee、Bluetooth、LoRa、ISM transceiver AQFN-73-EP(7x7) RF Transceiver ICs ROHS</t>
        </is>
      </c>
      <c r="E21" s="2" t="n">
        <v>5.346</v>
      </c>
      <c r="F21" s="2" t="n">
        <v>1</v>
      </c>
      <c r="G21" s="2" t="n">
        <v>5.35</v>
      </c>
    </row>
    <row r="22">
      <c r="A22" s="2" t="inlineStr">
        <is>
          <t>stock</t>
        </is>
      </c>
      <c r="B22" s="2" t="inlineStr">
        <is>
          <t>C437655</t>
        </is>
      </c>
      <c r="C22" s="2" t="inlineStr">
        <is>
          <t>BMA400</t>
        </is>
      </c>
      <c r="D22" s="2" t="inlineStr">
        <is>
          <t>-40℃~+85℃ 1.71V~3.6V 12bit 160nA 1KB Accelerometer SPI、I2C X,Y,Z ±16g LGA-12(2x2) Accelerometers ROHS</t>
        </is>
      </c>
      <c r="E22" s="2" t="n">
        <v>3.0436</v>
      </c>
      <c r="F22" s="2" t="n">
        <v>1</v>
      </c>
      <c r="G22" s="2" t="n">
        <v>3.05</v>
      </c>
    </row>
    <row r="23">
      <c r="A23" s="2" t="inlineStr">
        <is>
          <t>stock</t>
        </is>
      </c>
      <c r="B23" s="2" t="inlineStr">
        <is>
          <t>C25346894</t>
        </is>
      </c>
      <c r="C23" s="2" t="inlineStr">
        <is>
          <t>NPM1300-CAAA-R7</t>
        </is>
      </c>
      <c r="D23" s="2" t="inlineStr">
        <is>
          <t>WLCSP-35(2.4x3.1) Power Management - Specialized ROHS</t>
        </is>
      </c>
      <c r="E23" s="2" t="n">
        <v>2.5624</v>
      </c>
      <c r="F23" s="2" t="n">
        <v>1</v>
      </c>
      <c r="G23" s="2" t="n">
        <v>2.57</v>
      </c>
    </row>
    <row r="24">
      <c r="A24" s="2" t="inlineStr">
        <is>
          <t>stock</t>
        </is>
      </c>
      <c r="B24" s="2" t="inlineStr">
        <is>
          <t>C84817</t>
        </is>
      </c>
      <c r="C24" s="2" t="inlineStr">
        <is>
          <t>MT3608</t>
        </is>
      </c>
      <c r="D24" s="2" t="inlineStr">
        <is>
          <t>-40℃~+85℃ 1 1.2MHz 100uA、1.6mA 2A 2V~24V Adjustable Boost Boost Built-in No SOT-23-6 DC-DC Converters ROHS</t>
        </is>
      </c>
      <c r="E24" s="2" t="n">
        <v>0.08</v>
      </c>
      <c r="F24" s="2" t="n">
        <v>1</v>
      </c>
      <c r="G24" s="2" t="n">
        <v>0.08</v>
      </c>
    </row>
    <row r="25">
      <c r="A25" s="2" t="inlineStr">
        <is>
          <t>stock</t>
        </is>
      </c>
      <c r="B25" s="2" t="inlineStr">
        <is>
          <t>C3018484</t>
        </is>
      </c>
      <c r="C25" s="2" t="inlineStr">
        <is>
          <t>BSS84</t>
        </is>
      </c>
      <c r="D25" s="2" t="inlineStr">
        <is>
          <t>-55℃~+150℃ 1 P-Channel 10pF 10Ω@5V 130mA 225mW 2V 30pF 50V 5pF SOT-23 MOSFETs ROHS</t>
        </is>
      </c>
      <c r="E25" s="2" t="n">
        <v>0.0223</v>
      </c>
      <c r="F25" s="2" t="n">
        <v>1</v>
      </c>
      <c r="G25" s="2" t="n">
        <v>0.03</v>
      </c>
    </row>
    <row r="26">
      <c r="A26" s="2" t="inlineStr">
        <is>
          <t>stock</t>
        </is>
      </c>
      <c r="B26" s="2" t="inlineStr">
        <is>
          <t>C2827688</t>
        </is>
      </c>
      <c r="C26" s="2" t="inlineStr">
        <is>
          <t>PRTR5V0U2X</t>
        </is>
      </c>
      <c r="D26" s="2" t="inlineStr">
        <is>
          <t>-55℃~+125℃ 0.3pF、0.8pF 100W 10V、15V 5V 6.5V 6A 80nA ESD IEC 61000-4-2、IEC 61000-4-5、IEC 61000-4-4 Three channels Unidirectional SOT-143 ESD and Surge Protection (TVS/ESD) ROHS</t>
        </is>
      </c>
      <c r="E26" s="2" t="n">
        <v>0.0609</v>
      </c>
      <c r="F26" s="2" t="n">
        <v>1</v>
      </c>
      <c r="G26" s="2" t="n">
        <v>0.07000000000000001</v>
      </c>
    </row>
    <row r="27">
      <c r="A27" s="2" t="inlineStr">
        <is>
          <t>stock</t>
        </is>
      </c>
      <c r="B27" s="2" t="inlineStr">
        <is>
          <t>C456012</t>
        </is>
      </c>
      <c r="C27" s="2" t="inlineStr">
        <is>
          <t>TYPE-C 6P</t>
        </is>
      </c>
      <c r="D27" s="2" t="inlineStr">
        <is>
          <t>-40℃~+85℃ 1 3,000 Cycles 3A 5V 6P Black Female Surface Mount, Right Angle Type-C SMD USB Connectors ROHS</t>
        </is>
      </c>
      <c r="E27" s="2" t="n">
        <v>0.0385</v>
      </c>
      <c r="F27" s="2" t="n">
        <v>1</v>
      </c>
      <c r="G27" s="2" t="n">
        <v>0.04</v>
      </c>
    </row>
    <row r="28">
      <c r="A28" s="2" t="inlineStr">
        <is>
          <t>stock</t>
        </is>
      </c>
      <c r="B28" s="2" t="inlineStr">
        <is>
          <t>C5137195</t>
        </is>
      </c>
      <c r="C28" s="2" t="inlineStr">
        <is>
          <t>BWU.FL-IPEX1</t>
        </is>
      </c>
      <c r="D28" s="2" t="inlineStr">
        <is>
          <t>1 1.25mm 2mm 50Ω 6GHz Board Side IPEX Male Pin SMD Coaxial Connectors (RF) ROHS</t>
        </is>
      </c>
      <c r="E28" s="2" t="n">
        <v>0.0398</v>
      </c>
      <c r="F28" s="2" t="n">
        <v>1</v>
      </c>
      <c r="G28" s="2" t="n">
        <v>0.04</v>
      </c>
    </row>
    <row r="29">
      <c r="A29" s="2" t="inlineStr">
        <is>
          <t>stock</t>
        </is>
      </c>
      <c r="B29" s="2" t="inlineStr">
        <is>
          <t>C266888</t>
        </is>
      </c>
      <c r="C29" s="2" t="inlineStr">
        <is>
          <t>SMN-303</t>
        </is>
      </c>
      <c r="D29" s="2" t="inlineStr">
        <is>
          <t>-25℃~+85℃ 1.37mm Connector and Ejector Nano-SIM Card Push-Push With Card Detect SMD SIM Card Connectors ROHS</t>
        </is>
      </c>
      <c r="E29" s="2" t="n">
        <v>0.4893</v>
      </c>
      <c r="F29" s="2" t="n">
        <v>1</v>
      </c>
      <c r="G29" s="2" t="n">
        <v>0.49</v>
      </c>
    </row>
    <row r="30">
      <c r="A30" s="2" t="inlineStr">
        <is>
          <t>stock</t>
        </is>
      </c>
      <c r="B30" s="2" t="inlineStr">
        <is>
          <t>C131337</t>
        </is>
      </c>
      <c r="C30" s="2" t="inlineStr">
        <is>
          <t>B2B-PH-K-S(LF)(SN)</t>
        </is>
      </c>
      <c r="D30" s="2" t="inlineStr">
        <is>
          <t>-25℃~+85℃ 1 100V 1x2P 2 2A 2P 2mm 4.5mm 5.9mm 6mm Brass K Pin PA66 PH Through Hole Tin UL94V-0 White 插件,P=2mm Wire To Board Connector ROHS</t>
        </is>
      </c>
      <c r="E30" s="2" t="n">
        <v>0.0348</v>
      </c>
      <c r="F30" s="2" t="n">
        <v>1</v>
      </c>
      <c r="G30" s="2" t="n">
        <v>0.04</v>
      </c>
    </row>
    <row r="31">
      <c r="A31" s="2" t="inlineStr">
        <is>
          <t>stock</t>
        </is>
      </c>
      <c r="B31" s="2" t="inlineStr">
        <is>
          <t>C187794</t>
        </is>
      </c>
      <c r="C31" s="2" t="inlineStr">
        <is>
          <t>Q22FA12800025</t>
        </is>
      </c>
      <c r="D31" s="2" t="inlineStr">
        <is>
          <t>-20℃~+75℃ 32MHz 60Ω 8pF Crystal Oscillator ±10ppm ±10ppm SMD2016-4P Crystals ROHS</t>
        </is>
      </c>
      <c r="E31" s="2" t="n">
        <v>0.2321</v>
      </c>
      <c r="F31" s="2" t="n">
        <v>1</v>
      </c>
      <c r="G31" s="2" t="n">
        <v>0.24</v>
      </c>
    </row>
    <row r="32">
      <c r="A32" s="2" t="inlineStr">
        <is>
          <t>stock</t>
        </is>
      </c>
      <c r="B32" s="2" t="inlineStr">
        <is>
          <t>C160405</t>
        </is>
      </c>
      <c r="C32" s="2" t="inlineStr">
        <is>
          <t>SM06B-SRSS-TB(LF)(SN)</t>
        </is>
      </c>
      <c r="D32" s="2" t="inlineStr">
        <is>
          <t>-25℃~+85℃ 1 1A 1mm 1x6P 2.9mm 4.32mm 50V 6 6P 8mm Auxiliary Solder Pin Copper alloy PA SH Surface Mount, Right Angle Tin UL94V-0 White SMD,P=1mm,卧贴 Wire To Board Connector ROHS</t>
        </is>
      </c>
      <c r="E32" s="2" t="n">
        <v>0.2997</v>
      </c>
      <c r="F32" s="2" t="n">
        <v>1</v>
      </c>
      <c r="G32" s="2" t="n">
        <v>0.3</v>
      </c>
    </row>
    <row r="33">
      <c r="A33" s="2" t="inlineStr">
        <is>
          <t>stock</t>
        </is>
      </c>
      <c r="B33" s="2" t="inlineStr">
        <is>
          <t>C22397843</t>
        </is>
      </c>
      <c r="C33" s="2" t="inlineStr">
        <is>
          <t>nRF9151-LACA-R7</t>
        </is>
      </c>
      <c r="D33" s="2" t="inlineStr">
        <is>
          <t>LGA-113(12.1x11.1) RF Modules ROHS</t>
        </is>
      </c>
      <c r="E33" s="2" t="n">
        <v>16.138</v>
      </c>
      <c r="F33" s="2" t="n">
        <v>1</v>
      </c>
      <c r="G33" s="2" t="n">
        <v>16.14</v>
      </c>
    </row>
    <row r="34">
      <c r="A34" s="2" t="inlineStr">
        <is>
          <t>stock</t>
        </is>
      </c>
      <c r="B34" s="2" t="inlineStr">
        <is>
          <t>C2128</t>
        </is>
      </c>
      <c r="C34" s="2" t="inlineStr">
        <is>
          <t>1N4148WS</t>
        </is>
      </c>
      <c r="D34" s="2" t="inlineStr">
        <is>
          <t>1.25V@150mA 100V 150mA 1uA@75V 200mW 2A 4ns Independent SOD-323 Switching Diodes ROHS</t>
        </is>
      </c>
      <c r="E34" s="2" t="n">
        <v>0.009599999999999999</v>
      </c>
      <c r="F34" s="2" t="n">
        <v>1</v>
      </c>
      <c r="G34" s="2" t="n">
        <v>0.01</v>
      </c>
    </row>
  </sheetData>
  <autoFilter ref="A1:G3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2026-06-17T14:05:49Z</dcterms:created>
  <dcterms:modified xmlns:dcterms="http://purl.org/dc/terms/" xmlns:xsi="http://www.w3.org/2001/XMLSchema-instance" xsi:type="dcterms:W3CDTF">2026-06-17T14:05:49Z</dcterms:modified>
</cp:coreProperties>
</file>